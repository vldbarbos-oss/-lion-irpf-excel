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di\Documents\Bootcamp-Reclame-Aqui\LION_IRPF_repositorio\"/>
    </mc:Choice>
  </mc:AlternateContent>
  <xr:revisionPtr revIDLastSave="0" documentId="13_ncr:1_{8C5382ED-DFC7-4ED4-86C3-F3DB2E872651}" xr6:coauthVersionLast="47" xr6:coauthVersionMax="47" xr10:uidLastSave="{00000000-0000-0000-0000-000000000000}"/>
  <bookViews>
    <workbookView xWindow="-120" yWindow="-120" windowWidth="29040" windowHeight="15720" tabRatio="0" xr2:uid="{00000000-000D-0000-FFFF-FFFF00000000}"/>
  </bookViews>
  <sheets>
    <sheet name="INÍCIO" sheetId="1" r:id="rId1"/>
    <sheet name="TITULAR" sheetId="2" r:id="rId2"/>
    <sheet name="INFORMES" sheetId="3" r:id="rId3"/>
    <sheet name="NOTAS" sheetId="4" r:id="rId4"/>
    <sheet name="DEDUÇÕES" sheetId="5" r:id="rId5"/>
    <sheet name="RESUMO" sheetId="6" r:id="rId6"/>
    <sheet name="CHECKLIST" sheetId="7" r:id="rId7"/>
    <sheet name="AJUSTES" sheetId="8" r:id="rId8"/>
    <sheet name="LISTAS" sheetId="9" state="hidden" r:id="rId9"/>
    <sheet name="CALC" sheetId="10" state="hidden" r:id="rId10"/>
  </sheets>
  <definedNames>
    <definedName name="c_prog">CHECKLIST!$D$6</definedName>
    <definedName name="lst_bancos">LISTAS!$A$2:$A$51</definedName>
    <definedName name="lst_benef">LISTAS!$G$2:$G$6</definedName>
    <definedName name="lst_categorias">LISTAS!$C$2:$C$13</definedName>
    <definedName name="lst_simnao">LISTAS!$I$2:$I$3</definedName>
    <definedName name="lst_status">LISTAS!$H$2:$H$4</definedName>
    <definedName name="lst_tipofiscal">LISTAS!$D$2:$D$13</definedName>
    <definedName name="lst_tiposded">LISTAS!$F$2:$F$6</definedName>
    <definedName name="p_ano">AJUSTES!$D$8</definedName>
    <definedName name="p_ded_dep">AJUSTES!$D$12</definedName>
    <definedName name="p_lim_edu">AJUSTES!$D$13</definedName>
    <definedName name="p_limite_bens">AJUSTES!$D$11</definedName>
    <definedName name="p_limite_isento">AJUSTES!$D$10</definedName>
    <definedName name="p_limite_trib">AJUSTES!$D$9</definedName>
    <definedName name="p_pgbl_pct">AJUSTES!$D$16</definedName>
    <definedName name="p_simpl_max">AJUSTES!$D$15</definedName>
    <definedName name="p_simpl_pct">AJUSTES!$D$14</definedName>
    <definedName name="r_exclusivo">RESUMO!$D$10</definedName>
    <definedName name="r_isento">RESUMO!$D$9</definedName>
    <definedName name="r_modelo">RESUMO!$D$28</definedName>
    <definedName name="r_obrigado">RESUMO!$D$20</definedName>
    <definedName name="r_trib">RESUMO!$D$8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8" l="1"/>
  <c r="A17" i="8"/>
  <c r="A16" i="8"/>
  <c r="A15" i="8"/>
  <c r="A14" i="8"/>
  <c r="A13" i="8"/>
  <c r="A12" i="8"/>
  <c r="A11" i="8"/>
  <c r="F21" i="7"/>
  <c r="F20" i="7"/>
  <c r="A18" i="7"/>
  <c r="A17" i="7"/>
  <c r="A16" i="7"/>
  <c r="A15" i="7"/>
  <c r="A14" i="7"/>
  <c r="A13" i="7"/>
  <c r="F12" i="7"/>
  <c r="A12" i="7"/>
  <c r="F11" i="7"/>
  <c r="A11" i="7"/>
  <c r="D6" i="7"/>
  <c r="L10" i="1" s="1"/>
  <c r="F19" i="6"/>
  <c r="F18" i="6"/>
  <c r="A18" i="6"/>
  <c r="E17" i="6"/>
  <c r="A17" i="6"/>
  <c r="E16" i="6"/>
  <c r="A16" i="6"/>
  <c r="E15" i="6"/>
  <c r="A15" i="6"/>
  <c r="A14" i="6"/>
  <c r="A13" i="6"/>
  <c r="A12" i="6"/>
  <c r="A11" i="6"/>
  <c r="K24" i="5"/>
  <c r="L24" i="5" s="1"/>
  <c r="L23" i="5"/>
  <c r="K23" i="5"/>
  <c r="L22" i="5"/>
  <c r="K22" i="5"/>
  <c r="K21" i="5"/>
  <c r="L21" i="5" s="1"/>
  <c r="L20" i="5"/>
  <c r="L10" i="5" s="1"/>
  <c r="K20" i="5"/>
  <c r="A18" i="5"/>
  <c r="A17" i="5"/>
  <c r="A16" i="5"/>
  <c r="A15" i="5"/>
  <c r="K14" i="5"/>
  <c r="L14" i="5" s="1"/>
  <c r="A14" i="5"/>
  <c r="K13" i="5"/>
  <c r="L13" i="5" s="1"/>
  <c r="A13" i="5"/>
  <c r="L12" i="5"/>
  <c r="K12" i="5"/>
  <c r="A12" i="5"/>
  <c r="K11" i="5"/>
  <c r="A11" i="5"/>
  <c r="K10" i="5"/>
  <c r="K9" i="5"/>
  <c r="L9" i="5" s="1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A18" i="4"/>
  <c r="H17" i="4"/>
  <c r="G17" i="4"/>
  <c r="A17" i="4"/>
  <c r="H16" i="4"/>
  <c r="G16" i="4"/>
  <c r="A16" i="4"/>
  <c r="H15" i="4"/>
  <c r="G15" i="4"/>
  <c r="A15" i="4"/>
  <c r="H14" i="4"/>
  <c r="G14" i="4"/>
  <c r="A14" i="4"/>
  <c r="H13" i="4"/>
  <c r="G13" i="4"/>
  <c r="A13" i="4"/>
  <c r="H12" i="4"/>
  <c r="G12" i="4"/>
  <c r="A12" i="4"/>
  <c r="H11" i="4"/>
  <c r="G11" i="4"/>
  <c r="A11" i="4"/>
  <c r="H10" i="4"/>
  <c r="G10" i="4"/>
  <c r="H9" i="4"/>
  <c r="C13" i="10" s="1"/>
  <c r="G9" i="4"/>
  <c r="F2" i="10" s="1"/>
  <c r="F6" i="4"/>
  <c r="E6" i="4"/>
  <c r="F6" i="1" s="1"/>
  <c r="A18" i="3"/>
  <c r="E17" i="3"/>
  <c r="H16" i="3" s="1"/>
  <c r="A17" i="3"/>
  <c r="I16" i="3"/>
  <c r="G16" i="3"/>
  <c r="A16" i="3"/>
  <c r="I15" i="3"/>
  <c r="G15" i="3"/>
  <c r="A15" i="3"/>
  <c r="I14" i="3"/>
  <c r="G14" i="3"/>
  <c r="A14" i="3"/>
  <c r="I13" i="3"/>
  <c r="G13" i="3"/>
  <c r="A13" i="3"/>
  <c r="I12" i="3"/>
  <c r="G12" i="3"/>
  <c r="A12" i="3"/>
  <c r="I11" i="3"/>
  <c r="G11" i="3"/>
  <c r="A11" i="3"/>
  <c r="I10" i="3"/>
  <c r="G10" i="3"/>
  <c r="I9" i="3"/>
  <c r="I10" i="1" s="1"/>
  <c r="G9" i="3"/>
  <c r="D23" i="2"/>
  <c r="F10" i="1" s="1"/>
  <c r="E21" i="2"/>
  <c r="E20" i="2"/>
  <c r="E19" i="2"/>
  <c r="E18" i="2"/>
  <c r="A18" i="2"/>
  <c r="E17" i="2"/>
  <c r="A17" i="2"/>
  <c r="E16" i="2"/>
  <c r="A16" i="2"/>
  <c r="E15" i="2"/>
  <c r="A15" i="2"/>
  <c r="E14" i="2"/>
  <c r="A14" i="2"/>
  <c r="A13" i="2"/>
  <c r="E12" i="2"/>
  <c r="A12" i="2"/>
  <c r="A11" i="2"/>
  <c r="E10" i="2"/>
  <c r="E9" i="2"/>
  <c r="G8" i="2"/>
  <c r="E8" i="2" s="1"/>
  <c r="E7" i="2"/>
  <c r="A18" i="1"/>
  <c r="A17" i="1"/>
  <c r="A16" i="1"/>
  <c r="A15" i="1"/>
  <c r="A14" i="1"/>
  <c r="A13" i="1"/>
  <c r="A12" i="1"/>
  <c r="A11" i="1"/>
  <c r="F7" i="1"/>
  <c r="C7" i="1"/>
  <c r="C6" i="1"/>
  <c r="C3" i="1"/>
  <c r="C2" i="1"/>
  <c r="K15" i="5" l="1"/>
  <c r="F3" i="10"/>
  <c r="C4" i="10"/>
  <c r="F4" i="10"/>
  <c r="H11" i="3"/>
  <c r="H14" i="3"/>
  <c r="D8" i="6"/>
  <c r="C5" i="10"/>
  <c r="D9" i="6"/>
  <c r="C6" i="10"/>
  <c r="D10" i="6"/>
  <c r="C7" i="10"/>
  <c r="C8" i="10"/>
  <c r="H12" i="3"/>
  <c r="H15" i="3"/>
  <c r="C9" i="10"/>
  <c r="H9" i="3"/>
  <c r="C10" i="10"/>
  <c r="D12" i="6"/>
  <c r="D17" i="6" s="1"/>
  <c r="F17" i="6" s="1"/>
  <c r="C2" i="10"/>
  <c r="C11" i="10"/>
  <c r="C12" i="10"/>
  <c r="H10" i="3"/>
  <c r="H13" i="3"/>
  <c r="C3" i="10"/>
  <c r="D16" i="6" l="1"/>
  <c r="F16" i="6" s="1"/>
  <c r="E24" i="6"/>
  <c r="D11" i="6"/>
  <c r="E23" i="6"/>
  <c r="D23" i="6"/>
  <c r="D15" i="6"/>
  <c r="F15" i="6" s="1"/>
  <c r="D20" i="6" s="1"/>
  <c r="C10" i="1" s="1"/>
  <c r="L11" i="5"/>
  <c r="L15" i="5" s="1"/>
  <c r="I7" i="1"/>
  <c r="I6" i="1"/>
  <c r="H17" i="3"/>
  <c r="E25" i="6" l="1"/>
  <c r="D24" i="6"/>
  <c r="L6" i="1"/>
  <c r="D28" i="6" l="1"/>
  <c r="L7" i="1" s="1"/>
  <c r="D26" i="6"/>
  <c r="D25" i="6"/>
</calcChain>
</file>

<file path=xl/sharedStrings.xml><?xml version="1.0" encoding="utf-8"?>
<sst xmlns="http://schemas.openxmlformats.org/spreadsheetml/2006/main" count="405" uniqueCount="278">
  <si>
    <t>LION APP</t>
  </si>
  <si>
    <t>SALDO EM BANCOS</t>
  </si>
  <si>
    <t>ENTRADAS NO ANO</t>
  </si>
  <si>
    <t>RENDIMENTOS TRIBUTÁVEIS</t>
  </si>
  <si>
    <t>DEDUÇÕES (MELHOR MODELO)</t>
  </si>
  <si>
    <t>SITUAÇÃO NO IRPF</t>
  </si>
  <si>
    <t>CADASTRO DO TITULAR</t>
  </si>
  <si>
    <t>INFORMES COMPLETOS</t>
  </si>
  <si>
    <t>CHECKLIST CONCLUÍDO</t>
  </si>
  <si>
    <t>SYSTEM IRPF</t>
  </si>
  <si>
    <t>1. DADOS DO TITULAR</t>
  </si>
  <si>
    <t>preencha os dados da sua pessoa física abaixo</t>
  </si>
  <si>
    <t>Amarelo: você preenche</t>
  </si>
  <si>
    <t>Cinza: automático</t>
  </si>
  <si>
    <t>NOME</t>
  </si>
  <si>
    <t>SEU MADRUGA</t>
  </si>
  <si>
    <t>CPF</t>
  </si>
  <si>
    <t>NASCIMENTO</t>
  </si>
  <si>
    <t>TÍTULO DE ELEITOR</t>
  </si>
  <si>
    <t>123456789012</t>
  </si>
  <si>
    <t>CÔNJUGE</t>
  </si>
  <si>
    <t>BRUXA DO 71</t>
  </si>
  <si>
    <t>RUA</t>
  </si>
  <si>
    <t>BECO DA VILA, 14</t>
  </si>
  <si>
    <t>RUA ABREVIADA</t>
  </si>
  <si>
    <t>CEP</t>
  </si>
  <si>
    <t>TELEFONE</t>
  </si>
  <si>
    <t>CELULAR</t>
  </si>
  <si>
    <t>E-MAIL</t>
  </si>
  <si>
    <t>madruguinha@gmail.com</t>
  </si>
  <si>
    <t>HOUVE ALTERAÇÃO DA ENTREGA ANTERIOR</t>
  </si>
  <si>
    <t>NÃO</t>
  </si>
  <si>
    <t>DEPENDENTE CÔNJUGE</t>
  </si>
  <si>
    <t>RESIDENTE NO EXTERIOR</t>
  </si>
  <si>
    <t>Nº DE OUTROS DEPENDENTES (filhos, pais...)</t>
  </si>
  <si>
    <t>PREENCHIMENTO DO CADASTRO</t>
  </si>
  <si>
    <t>2. INFORMES DE RENDIMENTOS BANCÁRIOS</t>
  </si>
  <si>
    <t>valor atual (saldo/rendimento em 31/12) de cada instituição · coloque os PDFs na pasta /anexos ao lado do arquivo</t>
  </si>
  <si>
    <t>Nº</t>
  </si>
  <si>
    <t>BANCO</t>
  </si>
  <si>
    <t>VALOR ATUAL (R$)</t>
  </si>
  <si>
    <t>ANEXO (arquivo)</t>
  </si>
  <si>
    <t>LINK</t>
  </si>
  <si>
    <t>% DO TOTAL</t>
  </si>
  <si>
    <t>STATUS</t>
  </si>
  <si>
    <t>1 - Banco do Brasil</t>
  </si>
  <si>
    <t>bb_2025.pdf</t>
  </si>
  <si>
    <t>184 - Banco Itaú BBA S.A.</t>
  </si>
  <si>
    <t>itau_2025.pdf</t>
  </si>
  <si>
    <t>208 - Banco BTG Pactual</t>
  </si>
  <si>
    <t>btg_2025.pdf</t>
  </si>
  <si>
    <t>TOTAL</t>
  </si>
  <si>
    <t>O link 📎 abre o arquivo da pasta /anexos (mesma pasta da planilha). Máximo de 8 instituições.</t>
  </si>
  <si>
    <t>3. NOTAS BANCÁRIAS OU EXTRATO DE HOLERITES</t>
  </si>
  <si>
    <t>todos os valores de entrada mês a mês (receitas) do ano-calendário</t>
  </si>
  <si>
    <t>TOTAL DE ENTRADAS</t>
  </si>
  <si>
    <t>DATA</t>
  </si>
  <si>
    <t>CATEGORIA</t>
  </si>
  <si>
    <t>DESCRIÇÃO</t>
  </si>
  <si>
    <t>VALOR</t>
  </si>
  <si>
    <t>TIPO FISCAL</t>
  </si>
  <si>
    <t>MÊS</t>
  </si>
  <si>
    <t>HOLERITE (SALÁRIO)</t>
  </si>
  <si>
    <t>Salário mensal</t>
  </si>
  <si>
    <t>13º SALÁRIO</t>
  </si>
  <si>
    <t>13º salário</t>
  </si>
  <si>
    <t>RENDA FIXA (CDB/TESOURO)</t>
  </si>
  <si>
    <t>CDB BTG</t>
  </si>
  <si>
    <t>DIVIDENDOS</t>
  </si>
  <si>
    <t>Dividendos de ações</t>
  </si>
  <si>
    <t>POUPANÇA / LCI / LCA</t>
  </si>
  <si>
    <t>LCI Itaú</t>
  </si>
  <si>
    <t>4. DESPESAS DEDUTÍVEIS</t>
  </si>
  <si>
    <t>saúde, educação, previdência e pensão · limites aplicados automaticamente (aba AJUSTES)</t>
  </si>
  <si>
    <t>TIPO</t>
  </si>
  <si>
    <t>BENEFICIÁRIO</t>
  </si>
  <si>
    <t>PRESTADOR</t>
  </si>
  <si>
    <t>CPF/CNPJ</t>
  </si>
  <si>
    <t>INFORMADO (R$)</t>
  </si>
  <si>
    <t>DEDUTÍVEL (R$)</t>
  </si>
  <si>
    <t>Saúde</t>
  </si>
  <si>
    <t>Titular</t>
  </si>
  <si>
    <t>Clínica Vila Saudável</t>
  </si>
  <si>
    <t>12345678000190</t>
  </si>
  <si>
    <t>Plano de saúde (anual)</t>
  </si>
  <si>
    <t>98765432000110</t>
  </si>
  <si>
    <t>Educação</t>
  </si>
  <si>
    <t>Faculdade (anuidade)</t>
  </si>
  <si>
    <t>11222333000144</t>
  </si>
  <si>
    <t>Previdência privada (PGBL)</t>
  </si>
  <si>
    <t>Fundo PGBL</t>
  </si>
  <si>
    <t>55666777000188</t>
  </si>
  <si>
    <t>Previdência oficial (INSS)</t>
  </si>
  <si>
    <t>Pensão alimentícia</t>
  </si>
  <si>
    <t>Dependentes (qtd × dedução)</t>
  </si>
  <si>
    <t>PGBL limitado a 12% dos rendimentos tributáveis; educação limitada por pessoa.</t>
  </si>
  <si>
    <t>EDUCAÇÃO POR PESSOA</t>
  </si>
  <si>
    <t>Cônjuge</t>
  </si>
  <si>
    <t>Dependente 1</t>
  </si>
  <si>
    <t>Dependente 2</t>
  </si>
  <si>
    <t>Dependente 3</t>
  </si>
  <si>
    <t>5. RESUMO FISCAL E SIMULAÇÃO</t>
  </si>
  <si>
    <t>obrigatoriedade de declarar e comparação entre declaração completa e simplificada</t>
  </si>
  <si>
    <t>RENDIMENTOS DO ANO-CALENDÁRIO</t>
  </si>
  <si>
    <t>VALOR (R$)</t>
  </si>
  <si>
    <t>FICHA NO PROGRAMA IRPF</t>
  </si>
  <si>
    <t>Rendimentos tributáveis</t>
  </si>
  <si>
    <t>Rendimentos Tributáveis Recebidos de PJ / PF</t>
  </si>
  <si>
    <t>Rendimentos isentos e não tributáveis</t>
  </si>
  <si>
    <t>Rendimentos Isentos e Não Tributáveis</t>
  </si>
  <si>
    <t>Rendimentos exclusivos na fonte</t>
  </si>
  <si>
    <t>Rendimentos Sujeitos à Tributação Exclusiva/Definitiva</t>
  </si>
  <si>
    <t>TOTAL DE RENDIMENTOS</t>
  </si>
  <si>
    <t>Saldo bancário informado (Bens e Direitos)</t>
  </si>
  <si>
    <t>Bens e Direitos · código 06 (depósitos à vista)</t>
  </si>
  <si>
    <t>OBRIGATORIEDADE (critérios)</t>
  </si>
  <si>
    <t>SEU VALOR</t>
  </si>
  <si>
    <t>LIMITE</t>
  </si>
  <si>
    <t>ATINGIDO?</t>
  </si>
  <si>
    <t>Rendimentos tributáveis acima do limite</t>
  </si>
  <si>
    <t>Isentos + exclusivos na fonte acima do limite</t>
  </si>
  <si>
    <t>Bens e direitos em 31/12 acima do limite</t>
  </si>
  <si>
    <t>Teve ganho de capital / operações em bolsa?</t>
  </si>
  <si>
    <t>—</t>
  </si>
  <si>
    <t>Outra condição (rural, exterior...)?</t>
  </si>
  <si>
    <t>RESULTADO</t>
  </si>
  <si>
    <t>SIMULAÇÃO: COMPLETA x SIMPLIFICADA</t>
  </si>
  <si>
    <t>COMPLETA</t>
  </si>
  <si>
    <t>SIMPLIFICADA</t>
  </si>
  <si>
    <t>(−) Deduções</t>
  </si>
  <si>
    <t>Base de cálculo do imposto</t>
  </si>
  <si>
    <t>Vantagem do modelo escolhido (redução de base)</t>
  </si>
  <si>
    <t>MODELO MAIS VANTAJOSO</t>
  </si>
  <si>
    <t>Atenção: a simulação compara apenas a redução da base de cálculo. O imposto final depende da tabela progressiva e do imposto retido; confirme no programa oficial da Receita Federal antes de transmitir.</t>
  </si>
  <si>
    <t>6. CHECKLIST DA DECLARAÇÃO</t>
  </si>
  <si>
    <t>acompanhe cada etapa até a transmissão · links oficiais ao lado</t>
  </si>
  <si>
    <t>← progresso geral das etapas</t>
  </si>
  <si>
    <t>ETAPA / DOCUMENTO</t>
  </si>
  <si>
    <t>ONDE OBTER</t>
  </si>
  <si>
    <t>OBSERVAÇÕES</t>
  </si>
  <si>
    <t>Informe de rendimentos do empregador (holerites)</t>
  </si>
  <si>
    <t>Departamento pessoal / portal do RH</t>
  </si>
  <si>
    <t>Concluído</t>
  </si>
  <si>
    <t>Informes de rendimentos de todos os bancos</t>
  </si>
  <si>
    <t>App ou site de cada banco</t>
  </si>
  <si>
    <t>Lista de bancos onde você tem conta</t>
  </si>
  <si>
    <t>Registrato (Banco Central)</t>
  </si>
  <si>
    <t>Em andamento</t>
  </si>
  <si>
    <t>Extrato consolidado de ações, FIIs e ETFs</t>
  </si>
  <si>
    <t>Área do Investidor B3</t>
  </si>
  <si>
    <t>Pendente</t>
  </si>
  <si>
    <t>Notas de corretagem e DARFs de bolsa</t>
  </si>
  <si>
    <t>Corretora</t>
  </si>
  <si>
    <t>Recibos de despesas médicas (com CPF/CNPJ)</t>
  </si>
  <si>
    <t>Clínicas, planos, dentistas</t>
  </si>
  <si>
    <t>Comprovantes de educação</t>
  </si>
  <si>
    <t>Escola / faculdade</t>
  </si>
  <si>
    <t>Comprovante de PGBL / previdência</t>
  </si>
  <si>
    <t>Seguradora / banco</t>
  </si>
  <si>
    <t>Dados dos dependentes (CPF e nascimento)</t>
  </si>
  <si>
    <t>Documentos pessoais</t>
  </si>
  <si>
    <t>Bens e direitos: imóveis, veículos, saldos em 31/12</t>
  </si>
  <si>
    <t>Escrituras, CRLV, extratos</t>
  </si>
  <si>
    <t>Dívidas e ônus reais</t>
  </si>
  <si>
    <t>Contratos e financiamentos</t>
  </si>
  <si>
    <t>Conferir pendências e declaração pré-preenchida</t>
  </si>
  <si>
    <t>e-CAC (Receita Federal)</t>
  </si>
  <si>
    <t>Transmitir a declaração</t>
  </si>
  <si>
    <t>Programa IRPF / app Meu Imposto de Renda</t>
  </si>
  <si>
    <t>Arquivar o recibo e os documentos por 5 anos</t>
  </si>
  <si>
    <t>Pasta digital organizada por ano</t>
  </si>
  <si>
    <t>7. AJUSTES E PARÂMETROS</t>
  </si>
  <si>
    <t>valores usados nos cálculos · atualize a cada ano-calendário</t>
  </si>
  <si>
    <t>PARÂMETRO</t>
  </si>
  <si>
    <t>FONTE / OBSERVAÇÃO</t>
  </si>
  <si>
    <t>Ano-calendário</t>
  </si>
  <si>
    <t>Declaração entregue em 2026 refere-se ao ano-calendário 2025. Valor definido pelo autor.</t>
  </si>
  <si>
    <t>Limite de rendimentos tributáveis (obrigatoriedade)</t>
  </si>
  <si>
    <t>Fonte: Calculacentro, 'Imposto de Renda 2026 – guia' (calculacentro.com/blog/imposto-de-renda-2026-guia). Alguns sites ainda citam R$ 33.888,00 (ano anterior): confirme no gov.br.</t>
  </si>
  <si>
    <t>Limite de rendimentos isentos / exclusivos na fonte</t>
  </si>
  <si>
    <t>Fonte: Calculacentro, 'Imposto de Renda 2026 – guia' (calculacentro.com/blog/imposto-de-renda-2026-guia).</t>
  </si>
  <si>
    <t>Limite de bens e direitos em 31/12</t>
  </si>
  <si>
    <t>Critério de obrigatoriedade da Receita Federal (valor recordado pelo autor; confirme no gov.br).</t>
  </si>
  <si>
    <t>Dedução por dependente (anual)</t>
  </si>
  <si>
    <t>Fonte: Qive, 'IRPF 2026: guia completo' (qive.com.br/blog/irpf-2026-guia-completo).</t>
  </si>
  <si>
    <t>Limite de dedução com educação (por pessoa/ano)</t>
  </si>
  <si>
    <t>Desconto simplificado (% dos rendimentos tributáveis)</t>
  </si>
  <si>
    <t>Teto do desconto simplificado</t>
  </si>
  <si>
    <t>Fonte: Qive, 'IRPF 2026: guia completo' (qive.com.br/blog/irpf-2026-guia-completo); Calculacentro, 'Imposto de Renda 2026 – guia' (calculacentro.com/blog/imposto-de-renda-2026-guia).</t>
  </si>
  <si>
    <t>Limite de dedução do PGBL (% dos rendimentos tributáveis)</t>
  </si>
  <si>
    <t>Lei 9.250/1995, art. 11 (valor recordado pelo autor; confirme no gov.br).</t>
  </si>
  <si>
    <t>As listas (bancos, categorias, tipos de dedução) ficam na aba oculta LISTAS: clique com o botão direito em uma aba &gt; Reexibir.</t>
  </si>
  <si>
    <t>Novas regras de isenção até R$ 5.000/mês valem para rendimentos a partir de 2026 e não alteram a declaração do ano-calendário 2025.</t>
  </si>
  <si>
    <t>bancos</t>
  </si>
  <si>
    <t>categorias</t>
  </si>
  <si>
    <t>tipo_fiscal</t>
  </si>
  <si>
    <t>tipos_deducao</t>
  </si>
  <si>
    <t>beneficiarios</t>
  </si>
  <si>
    <t>status</t>
  </si>
  <si>
    <t>sim_nao</t>
  </si>
  <si>
    <t>tipos_fiscais</t>
  </si>
  <si>
    <t>Tributável</t>
  </si>
  <si>
    <t>SIM</t>
  </si>
  <si>
    <t>3 - Banco da Amazônia</t>
  </si>
  <si>
    <t>PRÓ-LABORE</t>
  </si>
  <si>
    <t>Isento / não tributável</t>
  </si>
  <si>
    <t>4 - Banco do Nordeste do Brasil</t>
  </si>
  <si>
    <t>ALUGUEL</t>
  </si>
  <si>
    <t>Exclusivo na fonte</t>
  </si>
  <si>
    <t>24 - Banco de Pernambuco</t>
  </si>
  <si>
    <t>AUTÔNOMO / FREELANCE</t>
  </si>
  <si>
    <t>29 - Banco do Estado do Rio de Janeiro</t>
  </si>
  <si>
    <t>33 - Banco Santander</t>
  </si>
  <si>
    <t>37 - Banco do Estado do Pará</t>
  </si>
  <si>
    <t>JCP</t>
  </si>
  <si>
    <t>41 - Banco do Estado do Rio Grande do Sul</t>
  </si>
  <si>
    <t>44 - Banco BVA</t>
  </si>
  <si>
    <t>62 - Hipercard Banco Múltiplo</t>
  </si>
  <si>
    <t>FGTS / INDENIZAÇÃO</t>
  </si>
  <si>
    <t>65 - Banco Lemon</t>
  </si>
  <si>
    <t>DOAÇÃO / HERANÇA</t>
  </si>
  <si>
    <t>66 - Banco Morgan Stanley</t>
  </si>
  <si>
    <t>OUTROS</t>
  </si>
  <si>
    <t>72 - Banco Rural Mais</t>
  </si>
  <si>
    <t>74 - Banco J. Safra</t>
  </si>
  <si>
    <t>77 - Banco Inter</t>
  </si>
  <si>
    <t>79 - Banco JBS</t>
  </si>
  <si>
    <t>82 - Banco Topázio</t>
  </si>
  <si>
    <t>102 - XP Investimentos CCTVM S.A.</t>
  </si>
  <si>
    <t>104 - Caixa Econômica Federal</t>
  </si>
  <si>
    <t>119 - Banco Western Union do Brasil</t>
  </si>
  <si>
    <t>197 - Stone Pagamentos</t>
  </si>
  <si>
    <t>212 - Banco Original</t>
  </si>
  <si>
    <t>218 - Banco Bonsucesso</t>
  </si>
  <si>
    <t>229 - Banco Cruzeiro do Sul</t>
  </si>
  <si>
    <t>237 - Banco Bradesco</t>
  </si>
  <si>
    <t>241 - Banco Clássico</t>
  </si>
  <si>
    <t>250 - Banco de Crédito e Varejo (BCV)</t>
  </si>
  <si>
    <t>260 - Nubank</t>
  </si>
  <si>
    <t>290 - PagBank</t>
  </si>
  <si>
    <t>336 - C6 Bank</t>
  </si>
  <si>
    <t>341 - Itaú Unibanco</t>
  </si>
  <si>
    <t>376 - Banco JPMorgan S.A.</t>
  </si>
  <si>
    <t>380 - PicPay</t>
  </si>
  <si>
    <t>422 - Banco Safra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</si>
  <si>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</si>
  <si>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</si>
  <si>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</si>
  <si>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</si>
  <si>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</si>
  <si>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634 - Banco Triângulo</t>
  </si>
  <si>
    <t>654 - Banco AJ Renner</t>
  </si>
  <si>
    <t>655 - Banco Votorantim</t>
  </si>
  <si>
    <t>707 - Banco Daycoval</t>
  </si>
  <si>
    <t>734 - Banco Gerdau</t>
  </si>
  <si>
    <t>735 - Banco Neon</t>
  </si>
  <si>
    <t>746 - Banco Modal</t>
  </si>
  <si>
    <t>748 - Banco Cooperativo Sicredi S.A.</t>
  </si>
  <si>
    <t>749 - Banco Simples</t>
  </si>
  <si>
    <t>mes</t>
  </si>
  <si>
    <t>n</t>
  </si>
  <si>
    <t>Entradas (R$)</t>
  </si>
  <si>
    <t>Tipo fiscal</t>
  </si>
  <si>
    <t>Valor (R$)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</si>
  <si>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</si>
  <si>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</si>
  <si>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</si>
  <si>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</si>
  <si>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</si>
  <si>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</si>
  <si>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</si>
  <si>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</si>
  <si>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</si>
  <si>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</si>
  <si>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</si>
  <si>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</si>
  <si>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BCO DA VILA, 14</t>
  </si>
  <si>
    <t>v1.0 · IRPF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</si>
</sst>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  <numFmt numFmtId="170" formatCode="0.0%"/>
    <numFmt numFmtId="171" formatCode="0&quot; dep.&quot;"/>
  </numFmts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1"/>
      <color rgb="FFFFFFFF"/>
      <name val="Arial"/>
    </font>
    <font>
      <b/>
      <sz val="10"/>
      <color rgb="FFFFFFFF"/>
      <name val="Arial"/>
    </font>
    <font>
      <sz val="8"/>
      <color rgb="FFAEB8C4"/>
      <name val="Arial"/>
    </font>
    <font>
      <b/>
      <sz val="16"/>
      <color rgb="FF1F2A37"/>
      <name val="Arial"/>
    </font>
    <font>
      <i/>
      <sz val="10"/>
      <color rgb="FF44546A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9C5700"/>
      <name val="Arial"/>
    </font>
    <font>
      <sz val="9"/>
      <color rgb="FF000000"/>
      <name val="Arial"/>
    </font>
    <font>
      <sz val="10"/>
      <color rgb="FF1F2A37"/>
      <name val="Arial"/>
    </font>
    <font>
      <sz val="10"/>
      <color rgb="FF9C5700"/>
      <name val="Arial"/>
    </font>
    <font>
      <i/>
      <sz val="8"/>
      <color rgb="FF6B7785"/>
      <name val="Arial"/>
    </font>
    <font>
      <u/>
      <sz val="10"/>
      <color rgb="FF0563C1"/>
      <name val="Arial"/>
    </font>
    <font>
      <b/>
      <sz val="11"/>
      <color rgb="FF000000"/>
      <name val="Arial"/>
    </font>
    <font>
      <i/>
      <sz val="9"/>
      <color rgb="FF44546A"/>
      <name val="Arial"/>
    </font>
    <font>
      <b/>
      <sz val="20"/>
      <color rgb="FF1F2A37"/>
      <name val="Arial"/>
    </font>
    <font>
      <i/>
      <sz val="11"/>
      <color rgb="FF44546A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8"/>
      <color rgb="FF44546A"/>
      <name val="Arial"/>
    </font>
    <font>
      <b/>
      <sz val="14"/>
      <color rgb="FF3A2A52"/>
      <name val="Arial"/>
    </font>
    <font>
      <b/>
      <sz val="11"/>
      <color rgb="FF1F2A37"/>
      <name val="Arial"/>
    </font>
    <font>
      <sz val="10"/>
      <color rgb="FF9C57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A4A5C"/>
        <bgColor rgb="FF3A4A5C"/>
      </patternFill>
    </fill>
    <fill>
      <patternFill patternType="solid">
        <fgColor rgb="FF7030A0"/>
        <bgColor rgb="FF7030A0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E7EAEE"/>
        <bgColor rgb="FFE7EAEE"/>
      </patternFill>
    </fill>
    <fill>
      <patternFill patternType="solid">
        <fgColor rgb="FFFFF6D6"/>
        <bgColor rgb="FFFFF6D6"/>
      </patternFill>
    </fill>
    <fill>
      <patternFill patternType="solid">
        <fgColor rgb="FF8C5A2B"/>
        <bgColor rgb="FF8C5A2B"/>
      </patternFill>
    </fill>
    <fill>
      <patternFill patternType="solid">
        <fgColor rgb="FF4E6A5A"/>
        <bgColor rgb="FF4E6A5A"/>
      </patternFill>
    </fill>
    <fill>
      <patternFill patternType="solid">
        <fgColor rgb="FFD9CFE3"/>
        <bgColor rgb="FFD9CFE3"/>
      </patternFill>
    </fill>
    <fill>
      <patternFill patternType="solid">
        <fgColor rgb="FFEDE7F3"/>
        <bgColor rgb="FFEDE7F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2" xfId="0" applyFont="1" applyBorder="1" applyAlignment="1">
      <alignment horizontal="right" vertical="center" inden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5" borderId="1" xfId="0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9" fontId="8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70" fontId="9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right"/>
    </xf>
    <xf numFmtId="169" fontId="16" fillId="6" borderId="1" xfId="0" applyNumberFormat="1" applyFont="1" applyFill="1" applyBorder="1" applyAlignment="1">
      <alignment horizontal="right" vertical="center"/>
    </xf>
    <xf numFmtId="170" fontId="8" fillId="6" borderId="1" xfId="0" applyNumberFormat="1" applyFont="1" applyFill="1" applyBorder="1" applyAlignment="1">
      <alignment horizontal="center"/>
    </xf>
    <xf numFmtId="169" fontId="8" fillId="5" borderId="1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9" fillId="5" borderId="1" xfId="0" applyFont="1" applyFill="1" applyBorder="1" applyAlignment="1">
      <alignment vertical="center"/>
    </xf>
    <xf numFmtId="169" fontId="9" fillId="5" borderId="1" xfId="0" applyNumberFormat="1" applyFont="1" applyFill="1" applyBorder="1" applyAlignment="1">
      <alignment horizontal="right" vertical="center"/>
    </xf>
    <xf numFmtId="171" fontId="9" fillId="5" borderId="1" xfId="0" applyNumberFormat="1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vertical="center"/>
    </xf>
    <xf numFmtId="169" fontId="8" fillId="6" borderId="1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20" fillId="3" borderId="3" xfId="0" applyFont="1" applyFill="1" applyBorder="1" applyAlignment="1">
      <alignment horizontal="center" vertical="center"/>
    </xf>
    <xf numFmtId="0" fontId="0" fillId="3" borderId="3" xfId="0" applyFill="1" applyBorder="1"/>
    <xf numFmtId="0" fontId="15" fillId="0" borderId="0" xfId="0" applyFont="1" applyAlignment="1">
      <alignment vertical="center"/>
    </xf>
    <xf numFmtId="0" fontId="0" fillId="0" borderId="0" xfId="0"/>
    <xf numFmtId="0" fontId="20" fillId="9" borderId="3" xfId="0" applyFont="1" applyFill="1" applyBorder="1" applyAlignment="1">
      <alignment horizontal="center" vertical="center"/>
    </xf>
    <xf numFmtId="0" fontId="0" fillId="9" borderId="3" xfId="0" applyFill="1" applyBorder="1"/>
    <xf numFmtId="0" fontId="23" fillId="10" borderId="3" xfId="0" applyFont="1" applyFill="1" applyBorder="1" applyAlignment="1">
      <alignment horizontal="center" vertical="center"/>
    </xf>
    <xf numFmtId="0" fontId="0" fillId="10" borderId="3" xfId="0" applyFill="1" applyBorder="1"/>
    <xf numFmtId="0" fontId="0" fillId="11" borderId="3" xfId="0" applyFill="1" applyBorder="1"/>
    <xf numFmtId="0" fontId="20" fillId="8" borderId="3" xfId="0" applyFont="1" applyFill="1" applyBorder="1" applyAlignment="1">
      <alignment horizontal="center" vertical="center"/>
    </xf>
    <xf numFmtId="0" fontId="0" fillId="8" borderId="3" xfId="0" applyFill="1" applyBorder="1"/>
    <xf numFmtId="0" fontId="22" fillId="2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24" fillId="11" borderId="3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0" borderId="0" xfId="0" applyFont="1" applyAlignment="1">
      <alignment vertical="top" wrapText="1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 applyProtection="1">
      <alignment horizontal="right"/>
      <protection locked="0"/>
    </xf>
    <xf numFmtId="169" fontId="13" fillId="4" borderId="1" xfId="0" applyNumberFormat="1" applyFont="1" applyFill="1" applyBorder="1" applyAlignment="1" applyProtection="1">
      <alignment horizontal="right"/>
      <protection locked="0"/>
    </xf>
    <xf numFmtId="9" fontId="13" fillId="4" borderId="1" xfId="0" applyNumberFormat="1" applyFont="1" applyFill="1" applyBorder="1" applyAlignment="1" applyProtection="1">
      <alignment horizontal="right"/>
      <protection locked="0"/>
    </xf>
    <xf numFmtId="0" fontId="13" fillId="4" borderId="1" xfId="0" applyFont="1" applyFill="1" applyBorder="1" applyAlignment="1" applyProtection="1">
      <alignment horizontal="center"/>
      <protection locked="0"/>
    </xf>
    <xf numFmtId="0" fontId="13" fillId="4" borderId="1" xfId="0" applyFont="1" applyFill="1" applyBorder="1" applyAlignment="1" applyProtection="1">
      <alignment horizontal="left" vertical="center" inden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4" fontId="13" fillId="7" borderId="1" xfId="0" applyNumberFormat="1" applyFont="1" applyFill="1" applyBorder="1" applyAlignment="1" applyProtection="1">
      <alignment horizontal="left" vertical="center" indent="1"/>
      <protection locked="0"/>
    </xf>
    <xf numFmtId="0" fontId="13" fillId="7" borderId="1" xfId="0" applyFont="1" applyFill="1" applyBorder="1" applyAlignment="1" applyProtection="1">
      <alignment horizontal="left" vertical="center" indent="1"/>
      <protection locked="0"/>
    </xf>
    <xf numFmtId="49" fontId="13" fillId="7" borderId="1" xfId="0" applyNumberFormat="1" applyFont="1" applyFill="1" applyBorder="1" applyAlignment="1" applyProtection="1">
      <alignment horizontal="left" vertical="center" indent="1"/>
      <protection locked="0"/>
    </xf>
    <xf numFmtId="169" fontId="13" fillId="7" borderId="1" xfId="0" applyNumberFormat="1" applyFont="1" applyFill="1" applyBorder="1" applyAlignment="1" applyProtection="1">
      <alignment horizontal="right" vertical="center"/>
      <protection locked="0"/>
    </xf>
    <xf numFmtId="169" fontId="13" fillId="4" borderId="1" xfId="0" applyNumberFormat="1" applyFont="1" applyFill="1" applyBorder="1" applyAlignment="1" applyProtection="1">
      <alignment horizontal="right" vertical="center"/>
      <protection locked="0"/>
    </xf>
    <xf numFmtId="164" fontId="13" fillId="4" borderId="1" xfId="0" applyNumberFormat="1" applyFont="1" applyFill="1" applyBorder="1" applyAlignment="1" applyProtection="1">
      <alignment horizontal="left" vertical="center" indent="1"/>
      <protection locked="0"/>
    </xf>
    <xf numFmtId="14" fontId="13" fillId="4" borderId="1" xfId="0" applyNumberFormat="1" applyFont="1" applyFill="1" applyBorder="1" applyAlignment="1" applyProtection="1">
      <alignment horizontal="left" vertical="center" indent="1"/>
      <protection locked="0"/>
    </xf>
    <xf numFmtId="49" fontId="13" fillId="4" borderId="1" xfId="0" applyNumberFormat="1" applyFont="1" applyFill="1" applyBorder="1" applyAlignment="1" applyProtection="1">
      <alignment horizontal="left" vertical="center" indent="1"/>
      <protection locked="0"/>
    </xf>
    <xf numFmtId="166" fontId="13" fillId="4" borderId="1" xfId="0" applyNumberFormat="1" applyFont="1" applyFill="1" applyBorder="1" applyAlignment="1" applyProtection="1">
      <alignment horizontal="left" vertical="center" indent="1"/>
      <protection locked="0"/>
    </xf>
    <xf numFmtId="167" fontId="13" fillId="4" borderId="1" xfId="0" applyNumberFormat="1" applyFont="1" applyFill="1" applyBorder="1" applyAlignment="1" applyProtection="1">
      <alignment horizontal="left" vertical="center" indent="1"/>
      <protection locked="0"/>
    </xf>
    <xf numFmtId="168" fontId="13" fillId="4" borderId="1" xfId="0" applyNumberFormat="1" applyFont="1" applyFill="1" applyBorder="1" applyAlignment="1" applyProtection="1">
      <alignment horizontal="left" vertical="center" indent="1"/>
      <protection locked="0"/>
    </xf>
    <xf numFmtId="1" fontId="13" fillId="4" borderId="1" xfId="0" applyNumberFormat="1" applyFont="1" applyFill="1" applyBorder="1" applyAlignment="1" applyProtection="1">
      <alignment horizontal="left" vertical="center" indent="1"/>
      <protection locked="0"/>
    </xf>
    <xf numFmtId="169" fontId="21" fillId="2" borderId="3" xfId="0" applyNumberFormat="1" applyFont="1" applyFill="1" applyBorder="1" applyAlignment="1" applyProtection="1">
      <alignment horizontal="center" vertical="center"/>
    </xf>
    <xf numFmtId="0" fontId="0" fillId="2" borderId="3" xfId="0" applyFill="1" applyBorder="1" applyProtection="1"/>
    <xf numFmtId="169" fontId="21" fillId="3" borderId="3" xfId="0" applyNumberFormat="1" applyFont="1" applyFill="1" applyBorder="1" applyAlignment="1" applyProtection="1">
      <alignment horizontal="center" vertical="center"/>
    </xf>
    <xf numFmtId="0" fontId="0" fillId="3" borderId="3" xfId="0" applyFill="1" applyBorder="1" applyProtection="1"/>
    <xf numFmtId="169" fontId="21" fillId="8" borderId="3" xfId="0" applyNumberFormat="1" applyFont="1" applyFill="1" applyBorder="1" applyAlignment="1" applyProtection="1">
      <alignment horizontal="center" vertical="center"/>
    </xf>
    <xf numFmtId="0" fontId="0" fillId="8" borderId="3" xfId="0" applyFill="1" applyBorder="1" applyProtection="1"/>
    <xf numFmtId="169" fontId="21" fillId="9" borderId="3" xfId="0" applyNumberFormat="1" applyFont="1" applyFill="1" applyBorder="1" applyAlignment="1" applyProtection="1">
      <alignment horizontal="center" vertical="center"/>
    </xf>
    <xf numFmtId="0" fontId="0" fillId="9" borderId="3" xfId="0" applyFill="1" applyBorder="1" applyProtection="1"/>
    <xf numFmtId="9" fontId="24" fillId="11" borderId="3" xfId="0" applyNumberFormat="1" applyFont="1" applyFill="1" applyBorder="1" applyAlignment="1" applyProtection="1">
      <alignment horizontal="center" vertical="center"/>
    </xf>
    <xf numFmtId="0" fontId="0" fillId="11" borderId="3" xfId="0" applyFill="1" applyBorder="1" applyProtection="1"/>
    <xf numFmtId="0" fontId="24" fillId="11" borderId="3" xfId="0" applyFont="1" applyFill="1" applyBorder="1" applyAlignment="1" applyProtection="1">
      <alignment horizontal="center" vertical="center"/>
    </xf>
    <xf numFmtId="0" fontId="26" fillId="4" borderId="1" xfId="0" applyFont="1" applyFill="1" applyBorder="1" applyAlignment="1" applyProtection="1">
      <alignment horizontal="left" vertical="center" indent="1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</cellXfs>
  <cellStyles count="1">
    <cellStyle name="Normal" xfId="0" builtinId="0"/>
  </cellStyles>
  <dxfs count="24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color rgb="FFC62828"/>
        <name val="Arial"/>
      </font>
      <fill>
        <patternFill patternType="solid">
          <fgColor rgb="FFFFCDD2"/>
          <bgColor rgb="FFFFCDD2"/>
        </patternFill>
      </fill>
    </dxf>
    <dxf>
      <font>
        <b/>
        <color rgb="FFB26A00"/>
        <name val="Arial"/>
      </font>
      <fill>
        <patternFill patternType="solid">
          <fgColor rgb="FFFFE0B2"/>
          <bgColor rgb="FFFFE0B2"/>
        </patternFill>
      </fill>
    </dxf>
    <dxf>
      <font>
        <b/>
        <color rgb="FF2E7D32"/>
        <name val="Arial"/>
      </font>
      <fill>
        <patternFill patternType="solid">
          <fgColor rgb="FFC8E6C9"/>
          <bgColor rgb="FFC8E6C9"/>
        </patternFill>
      </fill>
    </dxf>
    <dxf>
      <font>
        <b/>
        <color rgb="FFC62828"/>
        <name val="Arial"/>
      </font>
    </dxf>
    <dxf>
      <font>
        <b/>
        <color rgb="FFC62828"/>
        <name val="Arial"/>
      </font>
    </dxf>
    <dxf>
      <font>
        <b/>
        <color rgb="FFB26A00"/>
        <name val="Arial"/>
      </font>
    </dxf>
    <dxf>
      <font>
        <b/>
        <color rgb="FF2E7D32"/>
        <name val="Arial"/>
      </font>
    </dxf>
    <dxf>
      <font>
        <b/>
        <color rgb="FFC62828"/>
        <name val="Arial"/>
      </font>
    </dxf>
    <dxf>
      <font>
        <b/>
        <color rgb="FFB26A00"/>
        <name val="Arial"/>
      </font>
    </dxf>
    <dxf>
      <font>
        <b/>
        <color rgb="FF2E7D32"/>
        <name val="Arial"/>
      </font>
    </dxf>
    <dxf>
      <font>
        <b/>
        <color rgb="FF2E7D32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Entradas por mês (R$)</a:t>
            </a:r>
          </a:p>
        </c:rich>
      </c:tx>
      <c:layout>
        <c:manualLayout>
          <c:xMode val="edge"/>
          <c:yMode val="edge"/>
          <c:x val="0.39083191056512784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1265634002871956E-2"/>
          <c:y val="9.7788443111277754E-2"/>
          <c:w val="0.89556428031922641"/>
          <c:h val="0.7961728117318668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CALC!$C$1</c:f>
              <c:strCache>
                <c:ptCount val="1"/>
                <c:pt idx="0">
                  <c:v>Entradas (R$)</c:v>
                </c:pt>
              </c:strCache>
            </c:strRef>
          </c:tx>
          <c:spPr>
            <a:solidFill>
              <a:srgbClr val="7030A0"/>
            </a:solidFill>
            <a:ln>
              <a:prstDash val="solid"/>
            </a:ln>
          </c:spPr>
          <c:invertIfNegative val="1"/>
          <c:cat>
            <c:strRef>
              <c:f>CALC!$A$2:$A$13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CALC!$C$2:$C$13</c:f>
              <c:numCache>
                <c:formatCode>General</c:formatCode>
                <c:ptCount val="12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4250</c:v>
                </c:pt>
                <c:pt idx="6">
                  <c:v>3000</c:v>
                </c:pt>
                <c:pt idx="7">
                  <c:v>3000</c:v>
                </c:pt>
                <c:pt idx="8">
                  <c:v>3480</c:v>
                </c:pt>
                <c:pt idx="9">
                  <c:v>3000</c:v>
                </c:pt>
                <c:pt idx="10">
                  <c:v>3000</c:v>
                </c:pt>
                <c:pt idx="11">
                  <c:v>6920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FF-4E99-A1FC-CBCE52B9D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1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Entradas por tipo fiscal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CALC!$F$1</c:f>
              <c:strCache>
                <c:ptCount val="1"/>
                <c:pt idx="0">
                  <c:v>Valor (R$)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7030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7E-4893-9DE8-9370E7C9AB6C}"/>
              </c:ext>
            </c:extLst>
          </c:dPt>
          <c:dPt>
            <c:idx val="1"/>
            <c:bubble3D val="0"/>
            <c:spPr>
              <a:solidFill>
                <a:srgbClr val="A6B1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7E-4893-9DE8-9370E7C9AB6C}"/>
              </c:ext>
            </c:extLst>
          </c:dPt>
          <c:dPt>
            <c:idx val="2"/>
            <c:bubble3D val="0"/>
            <c:spPr>
              <a:solidFill>
                <a:srgbClr val="8C5A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7E-4893-9DE8-9370E7C9AB6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CALC!$E$2:$E$4</c:f>
              <c:strCache>
                <c:ptCount val="3"/>
                <c:pt idx="0">
                  <c:v>Tributável</c:v>
                </c:pt>
                <c:pt idx="1">
                  <c:v>Isento / não tributável</c:v>
                </c:pt>
                <c:pt idx="2">
                  <c:v>Exclusivo na fonte</c:v>
                </c:pt>
              </c:strCache>
            </c:strRef>
          </c:cat>
          <c:val>
            <c:numRef>
              <c:f>CALC!$F$2:$F$4</c:f>
              <c:numCache>
                <c:formatCode>General</c:formatCode>
                <c:ptCount val="3"/>
                <c:pt idx="0">
                  <c:v>36000</c:v>
                </c:pt>
                <c:pt idx="1">
                  <c:v>1400</c:v>
                </c:pt>
                <c:pt idx="2">
                  <c:v>4250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7E-4893-9DE8-9370E7C9AB6C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1"/>
          <c:showLeaderLines val="0"/>
        </c:dLbls>
        <c:firstSliceAng val="0"/>
        <c:holeSize val="55"/>
      </c:doughnutChart>
    </c:plotArea>
    <c:legend>
      <c:legendPos val="b"/>
      <c:overlay val="1"/>
    </c:legend>
    <c:plotVisOnly val="1"/>
    <c:dispBlanksAs val="gap"/>
    <c:showDLblsOverMax val="1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Saldo por instituição (R$)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7467032163742688"/>
          <c:y val="0.12367149758454106"/>
          <c:w val="0.66156853070175436"/>
          <c:h val="0.7795105177070257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INFORMES!$E$8</c:f>
              <c:strCache>
                <c:ptCount val="1"/>
                <c:pt idx="0">
                  <c:v>VALOR ATUAL (R$)</c:v>
                </c:pt>
              </c:strCache>
            </c:strRef>
          </c:tx>
          <c:spPr>
            <a:solidFill>
              <a:srgbClr val="3A4A5C"/>
            </a:solidFill>
            <a:ln>
              <a:prstDash val="solid"/>
            </a:ln>
          </c:spPr>
          <c:invertIfNegative val="1"/>
          <c:cat>
            <c:strRef>
              <c:f>INFORMES!$D$9:$D$16</c:f>
              <c:strCache>
                <c:ptCount val="3"/>
                <c:pt idx="0">
                  <c:v>1 - Banco do Brasil</c:v>
                </c:pt>
                <c:pt idx="1">
                  <c:v>184 - Banco Itaú BBA S.A.</c:v>
                </c:pt>
                <c:pt idx="2">
                  <c:v>208 - Banco BTG Pactual</c:v>
                </c:pt>
              </c:strCache>
            </c:strRef>
          </c:cat>
          <c:val>
            <c:numRef>
              <c:f>INFORMES!$E$9:$E$16</c:f>
              <c:numCache>
                <c:formatCode>"R$"\ #,##0.00</c:formatCode>
                <c:ptCount val="8"/>
                <c:pt idx="0">
                  <c:v>200000</c:v>
                </c:pt>
                <c:pt idx="1">
                  <c:v>315000</c:v>
                </c:pt>
                <c:pt idx="2">
                  <c:v>150000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A0-439C-8B0E-CE3B7C804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Deduções: informado x dedutível (R$)</a:t>
            </a:r>
          </a:p>
        </c:rich>
      </c:tx>
      <c:layout>
        <c:manualLayout>
          <c:xMode val="edge"/>
          <c:yMode val="edge"/>
          <c:x val="0.34473282086030049"/>
          <c:y val="6.304174952271934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6322188213120243E-2"/>
          <c:y val="3.4996113252765644E-2"/>
          <c:w val="0.90191717875028232"/>
          <c:h val="0.7640964542082481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DEDUÇÕES!$K$8</c:f>
              <c:strCache>
                <c:ptCount val="1"/>
                <c:pt idx="0">
                  <c:v>INFORMADO (R$)</c:v>
                </c:pt>
              </c:strCache>
            </c:strRef>
          </c:tx>
          <c:spPr>
            <a:solidFill>
              <a:srgbClr val="A6B1BD"/>
            </a:solidFill>
            <a:ln>
              <a:prstDash val="solid"/>
            </a:ln>
          </c:spPr>
          <c:invertIfNegative val="1"/>
          <c:cat>
            <c:strRef>
              <c:f>DEDUÇÕES!$J$9:$J$13</c:f>
              <c:strCache>
                <c:ptCount val="5"/>
                <c:pt idx="0">
                  <c:v>Saúde</c:v>
                </c:pt>
                <c:pt idx="1">
                  <c:v>Educação</c:v>
                </c:pt>
                <c:pt idx="2">
                  <c:v>Previdência privada (PGBL)</c:v>
                </c:pt>
                <c:pt idx="3">
                  <c:v>Previdência oficial (INSS)</c:v>
                </c:pt>
                <c:pt idx="4">
                  <c:v>Pensão alimentícia</c:v>
                </c:pt>
              </c:strCache>
            </c:strRef>
          </c:cat>
          <c:val>
            <c:numRef>
              <c:f>DEDUÇÕES!$K$9:$K$13</c:f>
              <c:numCache>
                <c:formatCode>"R$"\ #,##0.00</c:formatCode>
                <c:ptCount val="5"/>
                <c:pt idx="0">
                  <c:v>6600</c:v>
                </c:pt>
                <c:pt idx="1">
                  <c:v>4200</c:v>
                </c:pt>
                <c:pt idx="2">
                  <c:v>2400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70-44D7-8EC7-3675F21D41FB}"/>
            </c:ext>
          </c:extLst>
        </c:ser>
        <c:ser>
          <c:idx val="1"/>
          <c:order val="1"/>
          <c:tx>
            <c:strRef>
              <c:f>DEDUÇÕES!$L$8</c:f>
              <c:strCache>
                <c:ptCount val="1"/>
                <c:pt idx="0">
                  <c:v>DEDUTÍVEL (R$)</c:v>
                </c:pt>
              </c:strCache>
            </c:strRef>
          </c:tx>
          <c:spPr>
            <a:solidFill>
              <a:srgbClr val="7030A0"/>
            </a:solidFill>
            <a:ln>
              <a:prstDash val="solid"/>
            </a:ln>
          </c:spPr>
          <c:invertIfNegative val="1"/>
          <c:cat>
            <c:strRef>
              <c:f>DEDUÇÕES!$J$9:$J$13</c:f>
              <c:strCache>
                <c:ptCount val="5"/>
                <c:pt idx="0">
                  <c:v>Saúde</c:v>
                </c:pt>
                <c:pt idx="1">
                  <c:v>Educação</c:v>
                </c:pt>
                <c:pt idx="2">
                  <c:v>Previdência privada (PGBL)</c:v>
                </c:pt>
                <c:pt idx="3">
                  <c:v>Previdência oficial (INSS)</c:v>
                </c:pt>
                <c:pt idx="4">
                  <c:v>Pensão alimentícia</c:v>
                </c:pt>
              </c:strCache>
            </c:strRef>
          </c:cat>
          <c:val>
            <c:numRef>
              <c:f>DEDUÇÕES!$L$9:$L$13</c:f>
              <c:numCache>
                <c:formatCode>"R$"\ #,##0.00</c:formatCode>
                <c:ptCount val="5"/>
                <c:pt idx="0">
                  <c:v>6600</c:v>
                </c:pt>
                <c:pt idx="1">
                  <c:v>3561.5</c:v>
                </c:pt>
                <c:pt idx="2">
                  <c:v>2400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570-44D7-8EC7-3675F21D4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200024</xdr:colOff>
      <xdr:row>10</xdr:row>
      <xdr:rowOff>276224</xdr:rowOff>
    </xdr:from>
    <xdr:ext cx="6029326" cy="3000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38100</xdr:colOff>
      <xdr:row>10</xdr:row>
      <xdr:rowOff>257174</xdr:rowOff>
    </xdr:from>
    <xdr:ext cx="5886450" cy="30003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200024</xdr:colOff>
      <xdr:row>21</xdr:row>
      <xdr:rowOff>276224</xdr:rowOff>
    </xdr:from>
    <xdr:ext cx="6048375" cy="3733801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9525</xdr:colOff>
      <xdr:row>21</xdr:row>
      <xdr:rowOff>266698</xdr:rowOff>
    </xdr:from>
    <xdr:ext cx="5972175" cy="3724277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38100</xdr:rowOff>
    </xdr:from>
    <xdr:ext cx="1428750" cy="1428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otas" displayName="tblNotas" ref="C8:H208">
  <autoFilter ref="C8:H208" xr:uid="{00000000-0009-0000-0100-000001000000}"/>
  <tableColumns count="6">
    <tableColumn id="3" xr3:uid="{00000000-0010-0000-0000-000003000000}" name="DATA" dataDxfId="12"/>
    <tableColumn id="4" xr3:uid="{00000000-0010-0000-0000-000004000000}" name="CATEGORIA" dataDxfId="11"/>
    <tableColumn id="5" xr3:uid="{00000000-0010-0000-0000-000005000000}" name="DESCRIÇÃO" dataDxfId="10"/>
    <tableColumn id="6" xr3:uid="{00000000-0010-0000-0000-000006000000}" name="VALOR" dataDxfId="9"/>
    <tableColumn id="7" xr3:uid="{00000000-0010-0000-0000-000007000000}" name="TIPO FISCAL"/>
    <tableColumn id="8" xr3:uid="{00000000-0010-0000-0000-000008000000}" name="MÊ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ducoes" displayName="tblDeducoes" ref="C8:H108" headerRowDxfId="2" dataDxfId="0" totalsRowDxfId="1">
  <autoFilter ref="C8:H108" xr:uid="{00000000-0009-0000-0100-000002000000}"/>
  <tableColumns count="6">
    <tableColumn id="3" xr3:uid="{00000000-0010-0000-0100-000003000000}" name="DATA" dataDxfId="8"/>
    <tableColumn id="4" xr3:uid="{00000000-0010-0000-0100-000004000000}" name="TIPO" dataDxfId="7"/>
    <tableColumn id="5" xr3:uid="{00000000-0010-0000-0100-000005000000}" name="BENEFICIÁRIO" dataDxfId="6"/>
    <tableColumn id="6" xr3:uid="{00000000-0010-0000-0100-000006000000}" name="PRESTADOR" dataDxfId="5"/>
    <tableColumn id="7" xr3:uid="{00000000-0010-0000-0100-000007000000}" name="CPF/CNPJ" dataDxfId="4"/>
    <tableColumn id="8" xr3:uid="{00000000-0010-0000-0100-000008000000}" name="VALOR" dataDxfId="3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N74"/>
  <sheetViews>
    <sheetView showGridLines="0" showRowColHeaders="0" tabSelected="1" zoomScale="85" zoomScaleNormal="85" workbookViewId="0">
      <selection activeCell="A11" sqref="A11"/>
    </sheetView>
  </sheetViews>
  <sheetFormatPr defaultColWidth="0" defaultRowHeight="15" x14ac:dyDescent="0.25"/>
  <cols>
    <col min="1" max="1" width="26" customWidth="1"/>
    <col min="2" max="2" width="3" customWidth="1"/>
    <col min="3" max="14" width="13" customWidth="1"/>
    <col min="15" max="17" width="9.140625" customWidth="1"/>
    <col min="18" max="16384" width="9.140625" hidden="1"/>
  </cols>
  <sheetData>
    <row r="1" spans="1:14" ht="21.95" customHeight="1" x14ac:dyDescent="0.25">
      <c r="A1" s="1"/>
    </row>
    <row r="2" spans="1:14" ht="32.1" customHeight="1" x14ac:dyDescent="0.25">
      <c r="A2" s="2" t="s">
        <v>0</v>
      </c>
      <c r="C2" s="3" t="str">
        <f>"Painel IRPF · ano-calendário "&amp;p_ano</f>
        <v>Painel IRPF · ano-calendário 2025</v>
      </c>
    </row>
    <row r="3" spans="1:14" ht="21.95" customHeight="1" x14ac:dyDescent="0.25">
      <c r="A3" s="1"/>
      <c r="C3" s="4" t="str">
        <f>IF(TITULAR!D7="","Preencha a aba TITULAR",TITULAR!D7&amp;"   ·   CPF "&amp;TEXT(TITULAR!D8,"000\.000\.000\-00"))</f>
        <v>SEU MADRUGA   ·   CPF 529.982.247-25</v>
      </c>
    </row>
    <row r="4" spans="1:14" ht="21.95" customHeight="1" x14ac:dyDescent="0.25">
      <c r="A4" s="1"/>
      <c r="C4" s="5"/>
    </row>
    <row r="5" spans="1:14" ht="21.95" customHeight="1" x14ac:dyDescent="0.25">
      <c r="A5" s="1"/>
      <c r="C5" s="56" t="s">
        <v>1</v>
      </c>
      <c r="D5" s="53"/>
      <c r="E5" s="53"/>
      <c r="F5" s="41" t="s">
        <v>2</v>
      </c>
      <c r="G5" s="42"/>
      <c r="H5" s="42"/>
      <c r="I5" s="50" t="s">
        <v>3</v>
      </c>
      <c r="J5" s="51"/>
      <c r="K5" s="51"/>
      <c r="L5" s="45" t="s">
        <v>4</v>
      </c>
      <c r="M5" s="46"/>
      <c r="N5" s="46"/>
    </row>
    <row r="6" spans="1:14" ht="38.1" customHeight="1" x14ac:dyDescent="0.25">
      <c r="A6" s="1"/>
      <c r="C6" s="81">
        <f>INFORMES!E17</f>
        <v>665000</v>
      </c>
      <c r="D6" s="82"/>
      <c r="E6" s="82"/>
      <c r="F6" s="83">
        <f>NOTAS!E6</f>
        <v>41650</v>
      </c>
      <c r="G6" s="84"/>
      <c r="H6" s="84"/>
      <c r="I6" s="85">
        <f>r_trib</f>
        <v>36000</v>
      </c>
      <c r="J6" s="86"/>
      <c r="K6" s="86"/>
      <c r="L6" s="87">
        <f>MAX(DEDUÇÕES!L15,RESUMO!E24)</f>
        <v>12561.5</v>
      </c>
      <c r="M6" s="88"/>
      <c r="N6" s="88"/>
    </row>
    <row r="7" spans="1:14" ht="21.95" customHeight="1" x14ac:dyDescent="0.25">
      <c r="A7" s="1"/>
      <c r="C7" s="52" t="str">
        <f>COUNTA(INFORMES!D9:D16)&amp;" instituição(ões)"</f>
        <v>3 instituição(ões)</v>
      </c>
      <c r="D7" s="53"/>
      <c r="E7" s="53"/>
      <c r="F7" s="57" t="str">
        <f>COUNT(NOTAS!F9:F208)&amp;" lançamentos"</f>
        <v>16 lançamentos</v>
      </c>
      <c r="G7" s="42"/>
      <c r="H7" s="42"/>
      <c r="I7" s="58" t="str">
        <f>TEXT(IF(p_limite_trib=0,0,r_trib/p_limite_trib),"0%")&amp;" do limite de obrigatoriedade"</f>
        <v>101% do limite de obrigatoriedade</v>
      </c>
      <c r="J7" s="51"/>
      <c r="K7" s="51"/>
      <c r="L7" s="55" t="str">
        <f>"Modelo sugerido: "&amp;r_modelo</f>
        <v>Modelo sugerido: COMPLETA</v>
      </c>
      <c r="M7" s="46"/>
      <c r="N7" s="46"/>
    </row>
    <row r="8" spans="1:14" ht="21.95" customHeight="1" x14ac:dyDescent="0.25">
      <c r="A8" s="1"/>
    </row>
    <row r="9" spans="1:14" ht="21.95" customHeight="1" x14ac:dyDescent="0.25">
      <c r="A9" s="1"/>
      <c r="C9" s="47" t="s">
        <v>5</v>
      </c>
      <c r="D9" s="48"/>
      <c r="E9" s="48"/>
      <c r="F9" s="47" t="s">
        <v>6</v>
      </c>
      <c r="G9" s="48"/>
      <c r="H9" s="48"/>
      <c r="I9" s="47" t="s">
        <v>7</v>
      </c>
      <c r="J9" s="48"/>
      <c r="K9" s="48"/>
      <c r="L9" s="47" t="s">
        <v>8</v>
      </c>
      <c r="M9" s="48"/>
      <c r="N9" s="48"/>
    </row>
    <row r="10" spans="1:14" ht="30" customHeight="1" x14ac:dyDescent="0.25">
      <c r="A10" s="1"/>
      <c r="C10" s="54" t="str">
        <f>IF(LEFT(r_obrigado,1)="O","OBRIGADO A DECLARAR","NÃO OBRIGADO")</f>
        <v>OBRIGADO A DECLARAR</v>
      </c>
      <c r="D10" s="49"/>
      <c r="E10" s="49"/>
      <c r="F10" s="89">
        <f>TITULAR!D23</f>
        <v>1</v>
      </c>
      <c r="G10" s="90"/>
      <c r="H10" s="90"/>
      <c r="I10" s="91" t="str">
        <f>SUMPRODUCT(--(LEFT(INFORMES!I9:I16,1)="✔"))&amp;" de "&amp;COUNTA(INFORMES!D9:D16)</f>
        <v>3 de 3</v>
      </c>
      <c r="J10" s="90"/>
      <c r="K10" s="90"/>
      <c r="L10" s="89">
        <f>c_prog</f>
        <v>0.14285714285714285</v>
      </c>
      <c r="M10" s="90"/>
      <c r="N10" s="90"/>
    </row>
    <row r="11" spans="1:14" ht="21.95" customHeight="1" x14ac:dyDescent="0.25">
      <c r="A11" s="94" t="str">
        <f>HYPERLINK("#'INÍCIO'!A1","   INÍCIO")</f>
        <v xml:space="preserve">   INÍCIO</v>
      </c>
    </row>
    <row r="12" spans="1:14" ht="21.95" customHeight="1" x14ac:dyDescent="0.25">
      <c r="A12" s="93" t="str">
        <f>HYPERLINK("#'TITULAR'!A1","   TITULAR")</f>
        <v xml:space="preserve">   TITULAR</v>
      </c>
    </row>
    <row r="13" spans="1:14" ht="21.95" customHeight="1" x14ac:dyDescent="0.25">
      <c r="A13" s="93" t="str">
        <f>HYPERLINK("#'INFORMES'!A1","   INFORMES")</f>
        <v xml:space="preserve">   INFORMES</v>
      </c>
    </row>
    <row r="14" spans="1:14" ht="21.95" customHeight="1" x14ac:dyDescent="0.25">
      <c r="A14" s="93" t="str">
        <f>HYPERLINK("#'NOTAS'!A1","   NOTAS")</f>
        <v xml:space="preserve">   NOTAS</v>
      </c>
    </row>
    <row r="15" spans="1:14" ht="21.95" customHeight="1" x14ac:dyDescent="0.25">
      <c r="A15" s="93" t="str">
        <f>HYPERLINK("#'DEDUÇÕES'!A1","   DEDUÇÕES")</f>
        <v xml:space="preserve">   DEDUÇÕES</v>
      </c>
    </row>
    <row r="16" spans="1:14" ht="21.95" customHeight="1" x14ac:dyDescent="0.25">
      <c r="A16" s="93" t="str">
        <f>HYPERLINK("#'RESUMO'!A1","   RESUMO")</f>
        <v xml:space="preserve">   RESUMO</v>
      </c>
    </row>
    <row r="17" spans="1:1" ht="21.95" customHeight="1" x14ac:dyDescent="0.25">
      <c r="A17" s="93" t="str">
        <f>HYPERLINK("#'CHECKLIST'!A1","   CHECKLIST")</f>
        <v xml:space="preserve">   CHECKLIST</v>
      </c>
    </row>
    <row r="18" spans="1:1" ht="21.95" customHeight="1" x14ac:dyDescent="0.25">
      <c r="A18" s="93" t="str">
        <f>HYPERLINK("#'AJUSTES'!A1","   AJUSTES")</f>
        <v xml:space="preserve">   AJUSTES</v>
      </c>
    </row>
    <row r="19" spans="1:1" ht="21.95" customHeight="1" x14ac:dyDescent="0.25">
      <c r="A19" s="1"/>
    </row>
    <row r="20" spans="1:1" ht="21.95" customHeight="1" x14ac:dyDescent="0.25">
      <c r="A20" s="1"/>
    </row>
    <row r="21" spans="1:1" ht="21.95" customHeight="1" x14ac:dyDescent="0.25">
      <c r="A21" s="6" t="s">
        <v>9</v>
      </c>
    </row>
    <row r="22" spans="1:1" ht="21.95" customHeight="1" x14ac:dyDescent="0.25">
      <c r="A22" s="7" t="s">
        <v>277</v>
      </c>
    </row>
    <row r="23" spans="1:1" ht="21.95" customHeight="1" x14ac:dyDescent="0.25">
      <c r="A23" s="1"/>
    </row>
    <row r="24" spans="1:1" ht="21.95" customHeight="1" x14ac:dyDescent="0.25">
      <c r="A24" s="1"/>
    </row>
    <row r="25" spans="1:1" ht="21.95" customHeight="1" x14ac:dyDescent="0.25">
      <c r="A25" s="1"/>
    </row>
    <row r="26" spans="1:1" ht="21.95" customHeight="1" x14ac:dyDescent="0.25">
      <c r="A26" s="1"/>
    </row>
    <row r="27" spans="1:1" ht="21.95" customHeight="1" x14ac:dyDescent="0.25">
      <c r="A27" s="1"/>
    </row>
    <row r="28" spans="1:1" ht="21.95" customHeight="1" x14ac:dyDescent="0.25">
      <c r="A28" s="1"/>
    </row>
    <row r="29" spans="1:1" ht="21.95" customHeight="1" x14ac:dyDescent="0.25">
      <c r="A29" s="1"/>
    </row>
    <row r="30" spans="1:1" ht="21.95" customHeight="1" x14ac:dyDescent="0.25">
      <c r="A30" s="1"/>
    </row>
    <row r="31" spans="1:1" ht="21.95" customHeight="1" x14ac:dyDescent="0.25">
      <c r="A31" s="1"/>
    </row>
    <row r="32" spans="1:1" ht="21.95" customHeight="1" x14ac:dyDescent="0.25">
      <c r="A32" s="1"/>
    </row>
    <row r="33" spans="1:14" ht="21.95" customHeight="1" x14ac:dyDescent="0.25">
      <c r="A33" s="1"/>
    </row>
    <row r="34" spans="1:14" ht="21.95" customHeight="1" x14ac:dyDescent="0.25">
      <c r="A34" s="1"/>
      <c r="C34" s="8"/>
    </row>
    <row r="35" spans="1:14" ht="21.95" customHeight="1" x14ac:dyDescent="0.25">
      <c r="A35" s="1"/>
      <c r="C35" s="43"/>
      <c r="D35" s="44"/>
      <c r="E35" s="44"/>
      <c r="F35" s="44"/>
      <c r="G35" s="44"/>
      <c r="H35" s="44"/>
      <c r="I35" s="43"/>
      <c r="J35" s="44"/>
      <c r="K35" s="44"/>
      <c r="L35" s="44"/>
      <c r="M35" s="44"/>
      <c r="N35" s="44"/>
    </row>
    <row r="36" spans="1:14" ht="21.95" customHeight="1" x14ac:dyDescent="0.25">
      <c r="A36" s="1"/>
      <c r="C36" s="43"/>
      <c r="D36" s="44"/>
      <c r="E36" s="44"/>
      <c r="F36" s="44"/>
      <c r="G36" s="44"/>
      <c r="H36" s="44"/>
      <c r="I36" s="43"/>
      <c r="J36" s="44"/>
      <c r="K36" s="44"/>
      <c r="L36" s="44"/>
      <c r="M36" s="44"/>
      <c r="N36" s="44"/>
    </row>
    <row r="37" spans="1:14" ht="21.95" customHeight="1" x14ac:dyDescent="0.25">
      <c r="A37" s="1"/>
      <c r="C37" s="43"/>
      <c r="D37" s="44"/>
      <c r="E37" s="44"/>
      <c r="F37" s="44"/>
      <c r="G37" s="44"/>
      <c r="H37" s="44"/>
      <c r="I37" s="43"/>
      <c r="J37" s="44"/>
      <c r="K37" s="44"/>
      <c r="L37" s="44"/>
      <c r="M37" s="44"/>
      <c r="N37" s="44"/>
    </row>
    <row r="38" spans="1:14" ht="21.95" customHeight="1" x14ac:dyDescent="0.25">
      <c r="A38" s="1"/>
    </row>
    <row r="39" spans="1:14" ht="21.95" customHeight="1" x14ac:dyDescent="0.25">
      <c r="A39" s="1"/>
    </row>
    <row r="40" spans="1:14" ht="21.95" customHeight="1" x14ac:dyDescent="0.25">
      <c r="A40" s="1"/>
    </row>
    <row r="41" spans="1:14" ht="21.95" customHeight="1" x14ac:dyDescent="0.25">
      <c r="A41" s="1"/>
    </row>
    <row r="42" spans="1:14" ht="21.95" customHeight="1" x14ac:dyDescent="0.25">
      <c r="A42" s="1"/>
    </row>
    <row r="43" spans="1:14" ht="21.95" customHeight="1" x14ac:dyDescent="0.25">
      <c r="A43" s="1"/>
    </row>
    <row r="44" spans="1:14" ht="21.95" customHeight="1" x14ac:dyDescent="0.25">
      <c r="A44" s="1"/>
    </row>
    <row r="45" spans="1:14" ht="21.95" customHeight="1" x14ac:dyDescent="0.25">
      <c r="A45" s="1"/>
    </row>
    <row r="46" spans="1:14" ht="21.95" customHeight="1" x14ac:dyDescent="0.25">
      <c r="A46" s="1"/>
    </row>
    <row r="47" spans="1:14" ht="21.95" customHeight="1" x14ac:dyDescent="0.25">
      <c r="A47" s="1"/>
    </row>
    <row r="48" spans="1:14" ht="21.95" customHeight="1" x14ac:dyDescent="0.25">
      <c r="A48" s="1"/>
    </row>
    <row r="49" spans="1:1" ht="21.95" customHeight="1" x14ac:dyDescent="0.25">
      <c r="A49" s="1"/>
    </row>
    <row r="50" spans="1:1" ht="21.95" customHeight="1" x14ac:dyDescent="0.25">
      <c r="A50" s="1"/>
    </row>
    <row r="51" spans="1:1" ht="21.95" customHeight="1" x14ac:dyDescent="0.25">
      <c r="A51" s="1"/>
    </row>
    <row r="52" spans="1:1" ht="21.95" customHeight="1" x14ac:dyDescent="0.25">
      <c r="A52" s="1"/>
    </row>
    <row r="53" spans="1:1" ht="21.95" customHeight="1" x14ac:dyDescent="0.25">
      <c r="A53" s="1"/>
    </row>
    <row r="54" spans="1:1" ht="21.95" customHeight="1" x14ac:dyDescent="0.25">
      <c r="A54" s="1"/>
    </row>
    <row r="55" spans="1:1" ht="21.95" customHeight="1" x14ac:dyDescent="0.25">
      <c r="A55" s="1"/>
    </row>
    <row r="56" spans="1:1" ht="21.95" customHeight="1" x14ac:dyDescent="0.25">
      <c r="A56" s="1"/>
    </row>
    <row r="57" spans="1:1" ht="21.95" customHeight="1" x14ac:dyDescent="0.25">
      <c r="A57" s="1"/>
    </row>
    <row r="58" spans="1:1" ht="21.95" customHeight="1" x14ac:dyDescent="0.25">
      <c r="A58" s="1"/>
    </row>
    <row r="59" spans="1:1" ht="21.95" customHeight="1" x14ac:dyDescent="0.25">
      <c r="A59" s="1"/>
    </row>
    <row r="60" spans="1:1" ht="21.95" customHeight="1" x14ac:dyDescent="0.25">
      <c r="A60" s="1"/>
    </row>
    <row r="61" spans="1:1" ht="21.95" customHeight="1" x14ac:dyDescent="0.25">
      <c r="A61" s="1"/>
    </row>
    <row r="62" spans="1:1" ht="21.95" customHeight="1" x14ac:dyDescent="0.25">
      <c r="A62" s="1"/>
    </row>
    <row r="63" spans="1:1" ht="21.95" customHeight="1" x14ac:dyDescent="0.25">
      <c r="A63" s="1"/>
    </row>
    <row r="64" spans="1:1" ht="21.95" customHeight="1" x14ac:dyDescent="0.25">
      <c r="A64" s="1"/>
    </row>
    <row r="65" spans="1:1" ht="21.95" customHeight="1" x14ac:dyDescent="0.25">
      <c r="A65" s="1"/>
    </row>
    <row r="66" spans="1:1" ht="21.95" customHeight="1" x14ac:dyDescent="0.25">
      <c r="A66" s="1"/>
    </row>
    <row r="67" spans="1:1" ht="21.95" customHeight="1" x14ac:dyDescent="0.25">
      <c r="A67" s="1"/>
    </row>
    <row r="68" spans="1:1" ht="21.95" customHeight="1" x14ac:dyDescent="0.25">
      <c r="A68" s="1"/>
    </row>
    <row r="69" spans="1:1" ht="21.95" customHeight="1" x14ac:dyDescent="0.25">
      <c r="A69" s="1"/>
    </row>
    <row r="70" spans="1:1" ht="21.95" customHeight="1" x14ac:dyDescent="0.25">
      <c r="A70" s="1"/>
    </row>
    <row r="71" spans="1:1" ht="21.95" customHeight="1" x14ac:dyDescent="0.25">
      <c r="A71" s="1"/>
    </row>
    <row r="72" spans="1:1" ht="21.95" customHeight="1" x14ac:dyDescent="0.25">
      <c r="A72" s="1"/>
    </row>
    <row r="73" spans="1:1" ht="21.95" customHeight="1" x14ac:dyDescent="0.25">
      <c r="A73" s="1"/>
    </row>
    <row r="74" spans="1:1" ht="21.95" customHeight="1" x14ac:dyDescent="0.25">
      <c r="A74" s="1"/>
    </row>
  </sheetData>
  <sheetProtection sheet="1" objects="1" scenarios="1" selectLockedCells="1"/>
  <mergeCells count="26">
    <mergeCell ref="I36:N36"/>
    <mergeCell ref="C35:H35"/>
    <mergeCell ref="F7:H7"/>
    <mergeCell ref="I7:K7"/>
    <mergeCell ref="C10:E10"/>
    <mergeCell ref="L7:N7"/>
    <mergeCell ref="I6:K6"/>
    <mergeCell ref="F10:H10"/>
    <mergeCell ref="F6:H6"/>
    <mergeCell ref="C5:E5"/>
    <mergeCell ref="F5:H5"/>
    <mergeCell ref="I37:N37"/>
    <mergeCell ref="L5:N5"/>
    <mergeCell ref="C9:E9"/>
    <mergeCell ref="L10:N10"/>
    <mergeCell ref="C36:H36"/>
    <mergeCell ref="I5:K5"/>
    <mergeCell ref="L9:N9"/>
    <mergeCell ref="F9:H9"/>
    <mergeCell ref="C7:E7"/>
    <mergeCell ref="I35:N35"/>
    <mergeCell ref="L6:N6"/>
    <mergeCell ref="I10:K10"/>
    <mergeCell ref="C37:H37"/>
    <mergeCell ref="I9:K9"/>
    <mergeCell ref="C6:E6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4A5C"/>
    <pageSetUpPr fitToPage="1"/>
  </sheetPr>
  <dimension ref="A1:G74"/>
  <sheetViews>
    <sheetView showGridLines="0" showRowColHeaders="0" workbookViewId="0">
      <selection activeCell="A13" sqref="A13"/>
    </sheetView>
  </sheetViews>
  <sheetFormatPr defaultColWidth="0" defaultRowHeight="15" x14ac:dyDescent="0.25"/>
  <cols>
    <col min="1" max="1" width="26" customWidth="1"/>
    <col min="2" max="2" width="3" customWidth="1"/>
    <col min="3" max="3" width="46" customWidth="1"/>
    <col min="4" max="4" width="34" customWidth="1"/>
    <col min="5" max="5" width="38" customWidth="1"/>
    <col min="6" max="6" width="3" customWidth="1"/>
    <col min="7" max="7" width="3" hidden="1" customWidth="1"/>
    <col min="8" max="16384" width="9.140625" hidden="1"/>
  </cols>
  <sheetData>
    <row r="1" spans="1:7" ht="21.95" customHeight="1" x14ac:dyDescent="0.25">
      <c r="A1" s="1"/>
    </row>
    <row r="2" spans="1:7" ht="27.95" customHeight="1" x14ac:dyDescent="0.25">
      <c r="A2" s="2" t="s">
        <v>0</v>
      </c>
    </row>
    <row r="3" spans="1:7" ht="27.95" customHeight="1" x14ac:dyDescent="0.25">
      <c r="A3" s="1"/>
      <c r="C3" s="9" t="s">
        <v>10</v>
      </c>
    </row>
    <row r="4" spans="1:7" ht="21.95" customHeight="1" x14ac:dyDescent="0.25">
      <c r="A4" s="1"/>
      <c r="C4" s="5" t="s">
        <v>11</v>
      </c>
    </row>
    <row r="5" spans="1:7" ht="21.95" customHeight="1" x14ac:dyDescent="0.25">
      <c r="A5" s="1"/>
      <c r="C5" s="61" t="s">
        <v>12</v>
      </c>
      <c r="D5" s="62" t="s">
        <v>13</v>
      </c>
    </row>
    <row r="6" spans="1:7" ht="21.95" customHeight="1" x14ac:dyDescent="0.25">
      <c r="A6" s="1"/>
    </row>
    <row r="7" spans="1:7" ht="21.95" customHeight="1" x14ac:dyDescent="0.25">
      <c r="A7" s="1"/>
      <c r="C7" s="10" t="s">
        <v>14</v>
      </c>
      <c r="D7" s="92" t="s">
        <v>15</v>
      </c>
      <c r="E7" s="11" t="str">
        <f>IF(D7="","⚠ obrigatório",IF(LEN(D7)&lt;3,"✖ nome muito curto","✔"))</f>
        <v>✔</v>
      </c>
    </row>
    <row r="8" spans="1:7" ht="21.95" customHeight="1" x14ac:dyDescent="0.25">
      <c r="A8" s="1"/>
      <c r="C8" s="10" t="s">
        <v>16</v>
      </c>
      <c r="D8" s="74">
        <v>52998224725</v>
      </c>
      <c r="E8" s="11" t="str">
        <f>IF(D8="","⚠ obrigatório",IF(OR(NOT(ISNUMBER(D8)),LEN(G8)&lt;&gt;11,G8=REPT(LEFT(G8,1),11)),"✖ CPF inválido",IF(AND(MOD(MOD(SUMPRODUCT(--MID(G8,{1,2,3,4,5,6,7,8,9},1),{10,9,8,7,6,5,4,3,2})*10,11),10)=VALUE(MID(G8,10,1)),MOD(MOD(SUMPRODUCT(--MID(G8,{1,2,3,4,5,6,7,8,9,10},1),{11,10,9,8,7,6,5,4,3,2})*10,11),10)=VALUE(MID(G8,11,1))),"✔ CPF válido","✖ CPF inválido (dígito verificador)")))</f>
        <v>✔ CPF válido</v>
      </c>
      <c r="G8" s="12" t="str">
        <f>IF(D8="","",TEXT(D8,"00000000000"))</f>
        <v>52998224725</v>
      </c>
    </row>
    <row r="9" spans="1:7" ht="21.95" customHeight="1" x14ac:dyDescent="0.25">
      <c r="A9" s="1"/>
      <c r="C9" s="10" t="s">
        <v>17</v>
      </c>
      <c r="D9" s="75">
        <v>25569</v>
      </c>
      <c r="E9" s="11" t="str">
        <f ca="1">IF(D9="","⚠ obrigatório",IF(NOT(ISNUMBER(D9)),"✖ data inválida",IF(D9&gt;TODAY(),"✖ data no futuro","✔ "&amp;INT((TODAY()-D9)/365.25)&amp;" anos")))</f>
        <v>✔ 56 anos</v>
      </c>
    </row>
    <row r="10" spans="1:7" ht="21.95" customHeight="1" x14ac:dyDescent="0.25">
      <c r="A10" s="1"/>
      <c r="C10" s="10" t="s">
        <v>18</v>
      </c>
      <c r="D10" s="76" t="s">
        <v>19</v>
      </c>
      <c r="E10" s="11" t="str">
        <f>IF(D10="","⚠ obrigatório",IF(AND(LEN(D10)=12,ISNUMBER(VALUE(D10))),"✔","✖ deve ter 12 dígitos"))</f>
        <v>✔</v>
      </c>
    </row>
    <row r="11" spans="1:7" ht="21.95" customHeight="1" x14ac:dyDescent="0.25">
      <c r="A11" s="93" t="str">
        <f>HYPERLINK("#'INÍCIO'!A1","   INÍCIO")</f>
        <v xml:space="preserve">   INÍCIO</v>
      </c>
      <c r="C11" s="10" t="s">
        <v>20</v>
      </c>
      <c r="D11" s="67" t="s">
        <v>21</v>
      </c>
    </row>
    <row r="12" spans="1:7" ht="21.95" customHeight="1" x14ac:dyDescent="0.25">
      <c r="A12" s="94" t="str">
        <f>HYPERLINK("#'TITULAR'!A1","   TITULAR")</f>
        <v xml:space="preserve">   TITULAR</v>
      </c>
      <c r="C12" s="10" t="s">
        <v>22</v>
      </c>
      <c r="D12" s="67" t="s">
        <v>23</v>
      </c>
      <c r="E12" s="11" t="str">
        <f>IF(D12="","⚠ obrigatório","✔")</f>
        <v>✔</v>
      </c>
    </row>
    <row r="13" spans="1:7" ht="21.95" customHeight="1" x14ac:dyDescent="0.25">
      <c r="A13" s="93" t="str">
        <f>HYPERLINK("#'INFORMES'!A1","   INFORMES")</f>
        <v xml:space="preserve">   INFORMES</v>
      </c>
      <c r="C13" s="10" t="s">
        <v>24</v>
      </c>
      <c r="D13" s="67" t="s">
        <v>276</v>
      </c>
      <c r="E13" s="14"/>
    </row>
    <row r="14" spans="1:7" ht="21.95" customHeight="1" x14ac:dyDescent="0.25">
      <c r="A14" s="93" t="str">
        <f>HYPERLINK("#'NOTAS'!A1","   NOTAS")</f>
        <v xml:space="preserve">   NOTAS</v>
      </c>
      <c r="C14" s="10" t="s">
        <v>25</v>
      </c>
      <c r="D14" s="77">
        <v>96740000</v>
      </c>
      <c r="E14" s="11" t="str">
        <f>IF(D14="","⚠ obrigatório",IF(AND(ISNUMBER(D14),D14&gt;=1000000,D14&lt;=99999999),"✔","✖ CEP inválido"))</f>
        <v>✔</v>
      </c>
    </row>
    <row r="15" spans="1:7" ht="21.95" customHeight="1" x14ac:dyDescent="0.25">
      <c r="A15" s="93" t="str">
        <f>HYPERLINK("#'DEDUÇÕES'!A1","   DEDUÇÕES")</f>
        <v xml:space="preserve">   DEDUÇÕES</v>
      </c>
      <c r="C15" s="10" t="s">
        <v>26</v>
      </c>
      <c r="D15" s="78">
        <v>1112345678</v>
      </c>
      <c r="E15" s="11" t="str">
        <f>IF(D15="","⚠ obrigatório",IF(AND(ISNUMBER(D15),LEN(D15)=10),"✔","✖ use DDD + 8 dígitos"))</f>
        <v>✔</v>
      </c>
    </row>
    <row r="16" spans="1:7" ht="21.95" customHeight="1" x14ac:dyDescent="0.25">
      <c r="A16" s="93" t="str">
        <f>HYPERLINK("#'RESUMO'!A1","   RESUMO")</f>
        <v xml:space="preserve">   RESUMO</v>
      </c>
      <c r="C16" s="10" t="s">
        <v>27</v>
      </c>
      <c r="D16" s="79">
        <v>11912345678</v>
      </c>
      <c r="E16" s="11" t="str">
        <f>IF(D16="","⚠ obrigatório",IF(AND(ISNUMBER(D16),LEN(D16)=11),"✔","✖ use DDD + 9 dígitos"))</f>
        <v>✔</v>
      </c>
    </row>
    <row r="17" spans="1:5" ht="21.95" customHeight="1" x14ac:dyDescent="0.25">
      <c r="A17" s="93" t="str">
        <f>HYPERLINK("#'CHECKLIST'!A1","   CHECKLIST")</f>
        <v xml:space="preserve">   CHECKLIST</v>
      </c>
      <c r="C17" s="10" t="s">
        <v>28</v>
      </c>
      <c r="D17" s="67" t="s">
        <v>29</v>
      </c>
      <c r="E17" s="11" t="str">
        <f>IF(D17="","⚠ obrigatório",IF(AND(ISNUMBER(FIND("@",D17)),ISNUMBER(FIND(".",D17,FIND("@",D17)))),HYPERLINK("mailto:"&amp;D17,"✔ clique para enviar e-mail de teste"),"✖ e-mail inválido"))</f>
        <v>✔ clique para enviar e-mail de teste</v>
      </c>
    </row>
    <row r="18" spans="1:5" ht="21.95" customHeight="1" x14ac:dyDescent="0.25">
      <c r="A18" s="93" t="str">
        <f>HYPERLINK("#'AJUSTES'!A1","   AJUSTES")</f>
        <v xml:space="preserve">   AJUSTES</v>
      </c>
      <c r="C18" s="10" t="s">
        <v>30</v>
      </c>
      <c r="D18" s="67" t="s">
        <v>31</v>
      </c>
      <c r="E18" s="11" t="str">
        <f>IF(D18="","⚠ escolha SIM ou NÃO","✔")</f>
        <v>✔</v>
      </c>
    </row>
    <row r="19" spans="1:5" ht="21.95" customHeight="1" x14ac:dyDescent="0.25">
      <c r="A19" s="1"/>
      <c r="C19" s="10" t="s">
        <v>32</v>
      </c>
      <c r="D19" s="67" t="s">
        <v>31</v>
      </c>
      <c r="E19" s="11" t="str">
        <f>IF(D19="","⚠ escolha SIM ou NÃO","✔")</f>
        <v>✔</v>
      </c>
    </row>
    <row r="20" spans="1:5" ht="21.95" customHeight="1" x14ac:dyDescent="0.25">
      <c r="A20" s="1"/>
      <c r="C20" s="10" t="s">
        <v>33</v>
      </c>
      <c r="D20" s="67" t="s">
        <v>31</v>
      </c>
      <c r="E20" s="11" t="str">
        <f>IF(D20="","⚠ escolha SIM ou NÃO","✔")</f>
        <v>✔</v>
      </c>
    </row>
    <row r="21" spans="1:5" ht="21.95" customHeight="1" x14ac:dyDescent="0.25">
      <c r="A21" s="6" t="s">
        <v>9</v>
      </c>
      <c r="C21" s="10" t="s">
        <v>34</v>
      </c>
      <c r="D21" s="80">
        <v>0</v>
      </c>
      <c r="E21" s="11" t="str">
        <f>IF(D21="","⚠ informe 0 se não houver","✔ total de dependentes: "&amp;((D19="SIM")+D21))</f>
        <v>✔ total de dependentes: 0</v>
      </c>
    </row>
    <row r="22" spans="1:5" ht="21.95" customHeight="1" x14ac:dyDescent="0.25">
      <c r="A22" s="7" t="s">
        <v>277</v>
      </c>
    </row>
    <row r="23" spans="1:5" ht="21.95" customHeight="1" x14ac:dyDescent="0.25">
      <c r="A23" s="1"/>
      <c r="C23" s="15" t="s">
        <v>35</v>
      </c>
      <c r="D23" s="16">
        <f>COUNTA(D7:D10,D12,D14:D21)/13</f>
        <v>1</v>
      </c>
    </row>
    <row r="24" spans="1:5" ht="21.95" customHeight="1" x14ac:dyDescent="0.25">
      <c r="A24" s="1"/>
    </row>
    <row r="25" spans="1:5" ht="21.95" customHeight="1" x14ac:dyDescent="0.25">
      <c r="A25" s="1"/>
    </row>
    <row r="26" spans="1:5" ht="21.95" customHeight="1" x14ac:dyDescent="0.25">
      <c r="A26" s="1"/>
    </row>
    <row r="27" spans="1:5" ht="21.95" customHeight="1" x14ac:dyDescent="0.25">
      <c r="A27" s="1"/>
    </row>
    <row r="28" spans="1:5" ht="21.95" customHeight="1" x14ac:dyDescent="0.25">
      <c r="A28" s="1"/>
    </row>
    <row r="29" spans="1:5" ht="21.95" customHeight="1" x14ac:dyDescent="0.25">
      <c r="A29" s="1"/>
    </row>
    <row r="30" spans="1:5" ht="21.95" customHeight="1" x14ac:dyDescent="0.25">
      <c r="A30" s="1"/>
    </row>
    <row r="31" spans="1:5" ht="21.95" customHeight="1" x14ac:dyDescent="0.25">
      <c r="A31" s="1"/>
    </row>
    <row r="32" spans="1:5" ht="21.95" customHeight="1" x14ac:dyDescent="0.25">
      <c r="A32" s="1"/>
    </row>
    <row r="33" spans="1:1" ht="21.95" customHeight="1" x14ac:dyDescent="0.25">
      <c r="A33" s="1"/>
    </row>
    <row r="34" spans="1:1" ht="21.95" customHeight="1" x14ac:dyDescent="0.25">
      <c r="A34" s="1"/>
    </row>
    <row r="35" spans="1:1" ht="21.95" customHeight="1" x14ac:dyDescent="0.25">
      <c r="A35" s="1"/>
    </row>
    <row r="36" spans="1:1" ht="21.95" customHeight="1" x14ac:dyDescent="0.25">
      <c r="A36" s="1"/>
    </row>
    <row r="37" spans="1:1" ht="21.95" customHeight="1" x14ac:dyDescent="0.25">
      <c r="A37" s="1"/>
    </row>
    <row r="38" spans="1:1" ht="21.95" customHeight="1" x14ac:dyDescent="0.25">
      <c r="A38" s="1"/>
    </row>
    <row r="39" spans="1:1" ht="21.95" customHeight="1" x14ac:dyDescent="0.25">
      <c r="A39" s="1"/>
    </row>
    <row r="40" spans="1:1" ht="21.95" customHeight="1" x14ac:dyDescent="0.25">
      <c r="A40" s="1"/>
    </row>
    <row r="41" spans="1:1" ht="21.95" customHeight="1" x14ac:dyDescent="0.25">
      <c r="A41" s="1"/>
    </row>
    <row r="42" spans="1:1" ht="21.95" customHeight="1" x14ac:dyDescent="0.25">
      <c r="A42" s="1"/>
    </row>
    <row r="43" spans="1:1" ht="21.95" customHeight="1" x14ac:dyDescent="0.25">
      <c r="A43" s="1"/>
    </row>
    <row r="44" spans="1:1" ht="21.95" customHeight="1" x14ac:dyDescent="0.25">
      <c r="A44" s="1"/>
    </row>
    <row r="45" spans="1:1" ht="21.95" customHeight="1" x14ac:dyDescent="0.25">
      <c r="A45" s="1"/>
    </row>
    <row r="46" spans="1:1" ht="21.95" customHeight="1" x14ac:dyDescent="0.25">
      <c r="A46" s="1"/>
    </row>
    <row r="47" spans="1:1" ht="21.95" customHeight="1" x14ac:dyDescent="0.25">
      <c r="A47" s="1"/>
    </row>
    <row r="48" spans="1:1" ht="21.95" customHeight="1" x14ac:dyDescent="0.25">
      <c r="A48" s="1"/>
    </row>
    <row r="49" spans="1:1" ht="21.95" customHeight="1" x14ac:dyDescent="0.25">
      <c r="A49" s="1"/>
    </row>
    <row r="50" spans="1:1" ht="21.95" customHeight="1" x14ac:dyDescent="0.25">
      <c r="A50" s="1"/>
    </row>
    <row r="51" spans="1:1" ht="21.95" customHeight="1" x14ac:dyDescent="0.25">
      <c r="A51" s="1"/>
    </row>
    <row r="52" spans="1:1" ht="21.95" customHeight="1" x14ac:dyDescent="0.25">
      <c r="A52" s="1"/>
    </row>
    <row r="53" spans="1:1" ht="21.95" customHeight="1" x14ac:dyDescent="0.25">
      <c r="A53" s="1"/>
    </row>
    <row r="54" spans="1:1" ht="21.95" customHeight="1" x14ac:dyDescent="0.25">
      <c r="A54" s="1"/>
    </row>
    <row r="55" spans="1:1" ht="21.95" customHeight="1" x14ac:dyDescent="0.25">
      <c r="A55" s="1"/>
    </row>
    <row r="56" spans="1:1" ht="21.95" customHeight="1" x14ac:dyDescent="0.25">
      <c r="A56" s="1"/>
    </row>
    <row r="57" spans="1:1" ht="21.95" customHeight="1" x14ac:dyDescent="0.25">
      <c r="A57" s="1"/>
    </row>
    <row r="58" spans="1:1" ht="21.95" customHeight="1" x14ac:dyDescent="0.25">
      <c r="A58" s="1"/>
    </row>
    <row r="59" spans="1:1" ht="21.95" customHeight="1" x14ac:dyDescent="0.25">
      <c r="A59" s="1"/>
    </row>
    <row r="60" spans="1:1" ht="21.95" customHeight="1" x14ac:dyDescent="0.25">
      <c r="A60" s="1"/>
    </row>
    <row r="61" spans="1:1" ht="21.95" customHeight="1" x14ac:dyDescent="0.25">
      <c r="A61" s="1"/>
    </row>
    <row r="62" spans="1:1" ht="21.95" customHeight="1" x14ac:dyDescent="0.25">
      <c r="A62" s="1"/>
    </row>
    <row r="63" spans="1:1" ht="21.95" customHeight="1" x14ac:dyDescent="0.25">
      <c r="A63" s="1"/>
    </row>
    <row r="64" spans="1:1" ht="21.95" customHeight="1" x14ac:dyDescent="0.25">
      <c r="A64" s="1"/>
    </row>
    <row r="65" spans="1:1" ht="21.95" customHeight="1" x14ac:dyDescent="0.25">
      <c r="A65" s="1"/>
    </row>
    <row r="66" spans="1:1" ht="21.95" customHeight="1" x14ac:dyDescent="0.25">
      <c r="A66" s="1"/>
    </row>
    <row r="67" spans="1:1" ht="21.95" customHeight="1" x14ac:dyDescent="0.25">
      <c r="A67" s="1"/>
    </row>
    <row r="68" spans="1:1" ht="21.95" customHeight="1" x14ac:dyDescent="0.25">
      <c r="A68" s="1"/>
    </row>
    <row r="69" spans="1:1" ht="21.95" customHeight="1" x14ac:dyDescent="0.25">
      <c r="A69" s="1"/>
    </row>
    <row r="70" spans="1:1" ht="21.95" customHeight="1" x14ac:dyDescent="0.25">
      <c r="A70" s="1"/>
    </row>
    <row r="71" spans="1:1" ht="21.95" customHeight="1" x14ac:dyDescent="0.25">
      <c r="A71" s="1"/>
    </row>
    <row r="72" spans="1:1" ht="21.95" customHeight="1" x14ac:dyDescent="0.25">
      <c r="A72" s="1"/>
    </row>
    <row r="73" spans="1:1" ht="21.95" customHeight="1" x14ac:dyDescent="0.25">
      <c r="A73" s="1"/>
    </row>
    <row r="74" spans="1:1" ht="21.95" customHeight="1" x14ac:dyDescent="0.25">
      <c r="A74" s="1"/>
    </row>
  </sheetData>
  <sheetProtection sheet="1" objects="1" scenarios="1" selectLockedCells="1"/>
  <conditionalFormatting sqref="D23">
    <cfRule type="expression" dxfId="23" priority="4">
      <formula>D23&gt;=1</formula>
    </cfRule>
  </conditionalFormatting>
  <conditionalFormatting sqref="E7:E21">
    <cfRule type="expression" dxfId="22" priority="1">
      <formula>LEFT(E7,1)="✔"</formula>
    </cfRule>
    <cfRule type="expression" dxfId="21" priority="2">
      <formula>LEFT(E7,1)="⚠"</formula>
    </cfRule>
    <cfRule type="expression" dxfId="20" priority="3">
      <formula>LEFT(E7,1)="✖"</formula>
    </cfRule>
  </conditionalFormatting>
  <dataValidations count="10">
    <dataValidation type="textLength" allowBlank="1" showErrorMessage="1" errorTitle="Nome inválido" error="Informe o nome completo (mínimo 3 caracteres)." sqref="D7" xr:uid="{00000000-0002-0000-0100-000000000000}">
      <formula1>3</formula1>
      <formula2>80</formula2>
    </dataValidation>
    <dataValidation type="whole" allowBlank="1" showInputMessage="1" showErrorMessage="1" errorTitle="CPF inválido" error="Digite apenas os 11 números do CPF, sem pontos ou traço." promptTitle="Dica" prompt="Somente números (11 dígitos). A validação do dígito verificador aparece ao lado." sqref="D8" xr:uid="{00000000-0002-0000-0100-000001000000}">
      <formula1>1</formula1>
      <formula2>99999999999</formula2>
    </dataValidation>
    <dataValidation type="date" allowBlank="1" showInputMessage="1" showErrorMessage="1" errorTitle="Data inválida" error="Informe uma data válida no formato dd/mm/aaaa (não pode ser futura)." promptTitle="Dica" prompt="Formato dd/mm/aaaa" sqref="D9" xr:uid="{00000000-0002-0000-0100-000002000000}">
      <formula1>DATE(1900,1,1)</formula1>
      <formula2>TODAY()</formula2>
    </dataValidation>
    <dataValidation type="custom" allowBlank="1" showErrorMessage="1" errorTitle="Título inválido" error="O título de eleitor tem 12 dígitos numéricos." sqref="D10" xr:uid="{00000000-0002-0000-0100-000003000000}">
      <formula1>AND(LEN(D10)=12,ISNUMBER(VALUE(D10)))</formula1>
    </dataValidation>
    <dataValidation type="whole" allowBlank="1" showErrorMessage="1" errorTitle="CEP inválido" error="Digite os 8 números do CEP, sem traço." sqref="D14" xr:uid="{00000000-0002-0000-0100-000004000000}">
      <formula1>1000000</formula1>
      <formula2>99999999</formula2>
    </dataValidation>
    <dataValidation type="whole" allowBlank="1" showErrorMessage="1" errorTitle="Telefone inválido" error="Digite DDD + 8 dígitos (somente números)." sqref="D15" xr:uid="{00000000-0002-0000-0100-000005000000}">
      <formula1>1000000000</formula1>
      <formula2>99999999999</formula2>
    </dataValidation>
    <dataValidation type="whole" allowBlank="1" showErrorMessage="1" errorTitle="Celular inválido" error="Digite DDD + 9 dígitos (somente números)." sqref="D16" xr:uid="{00000000-0002-0000-0100-000006000000}">
      <formula1>10000000000</formula1>
      <formula2>99999999999</formula2>
    </dataValidation>
    <dataValidation type="custom" allowBlank="1" showErrorMessage="1" errorTitle="E-mail inválido" error="Informe um e-mail válido, por exemplo nome@dominio.com." sqref="D17" xr:uid="{00000000-0002-0000-0100-000007000000}">
      <formula1>AND(ISNUMBER(FIND("@",D17)),ISNUMBER(FIND(".",D17,FIND("@",D17))))</formula1>
    </dataValidation>
    <dataValidation type="list" allowBlank="1" showErrorMessage="1" errorTitle="Opção inválida" error="Escolha SIM ou NÃO na lista." sqref="D18:D20" xr:uid="{00000000-0002-0000-0100-000008000000}">
      <formula1>lst_simnao</formula1>
    </dataValidation>
    <dataValidation type="whole" allowBlank="1" showErrorMessage="1" errorTitle="Número inválido" error="Informe um número inteiro de 0 a 20." sqref="D21" xr:uid="{00000000-0002-0000-0100-000009000000}">
      <formula1>0</formula1>
      <formula2>20</formula2>
    </dataValidation>
  </dataValidations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A4A5C"/>
    <pageSetUpPr fitToPage="1"/>
  </sheetPr>
  <dimension ref="A1:I74"/>
  <sheetViews>
    <sheetView showGridLines="0" showRowColHeaders="0" workbookViewId="0">
      <selection activeCell="A11" sqref="A11"/>
    </sheetView>
  </sheetViews>
  <sheetFormatPr defaultColWidth="0" defaultRowHeight="15" x14ac:dyDescent="0.25"/>
  <cols>
    <col min="1" max="1" width="26" customWidth="1"/>
    <col min="2" max="2" width="3" customWidth="1"/>
    <col min="3" max="3" width="6" customWidth="1"/>
    <col min="4" max="4" width="40" customWidth="1"/>
    <col min="5" max="5" width="20" customWidth="1"/>
    <col min="6" max="6" width="24" customWidth="1"/>
    <col min="7" max="7" width="14" customWidth="1"/>
    <col min="8" max="8" width="12" customWidth="1"/>
    <col min="9" max="9" width="22" customWidth="1"/>
    <col min="10" max="10" width="9.140625" customWidth="1"/>
    <col min="11" max="16384" width="9.140625" hidden="1"/>
  </cols>
  <sheetData>
    <row r="1" spans="1:9" ht="21.95" customHeight="1" x14ac:dyDescent="0.25">
      <c r="A1" s="1"/>
    </row>
    <row r="2" spans="1:9" ht="27.95" customHeight="1" x14ac:dyDescent="0.25">
      <c r="A2" s="2" t="s">
        <v>0</v>
      </c>
    </row>
    <row r="3" spans="1:9" ht="27.95" customHeight="1" x14ac:dyDescent="0.25">
      <c r="A3" s="1"/>
      <c r="C3" s="9" t="s">
        <v>36</v>
      </c>
    </row>
    <row r="4" spans="1:9" ht="21.95" customHeight="1" x14ac:dyDescent="0.25">
      <c r="A4" s="1"/>
      <c r="C4" s="5" t="s">
        <v>37</v>
      </c>
    </row>
    <row r="5" spans="1:9" ht="21.95" customHeight="1" x14ac:dyDescent="0.25">
      <c r="A5" s="1"/>
      <c r="D5" s="61" t="s">
        <v>12</v>
      </c>
      <c r="E5" s="62" t="s">
        <v>13</v>
      </c>
    </row>
    <row r="6" spans="1:9" ht="21.95" customHeight="1" x14ac:dyDescent="0.25">
      <c r="A6" s="1"/>
    </row>
    <row r="7" spans="1:9" ht="21.95" customHeight="1" x14ac:dyDescent="0.25">
      <c r="A7" s="1"/>
    </row>
    <row r="8" spans="1:9" ht="21.95" customHeight="1" x14ac:dyDescent="0.25">
      <c r="A8" s="1"/>
      <c r="C8" s="17" t="s">
        <v>38</v>
      </c>
      <c r="D8" s="17" t="s">
        <v>39</v>
      </c>
      <c r="E8" s="17" t="s">
        <v>40</v>
      </c>
      <c r="F8" s="17" t="s">
        <v>41</v>
      </c>
      <c r="G8" s="17" t="s">
        <v>42</v>
      </c>
      <c r="H8" s="17" t="s">
        <v>43</v>
      </c>
      <c r="I8" s="17" t="s">
        <v>44</v>
      </c>
    </row>
    <row r="9" spans="1:9" ht="21.95" customHeight="1" x14ac:dyDescent="0.25">
      <c r="A9" s="1"/>
      <c r="C9" s="18">
        <v>1</v>
      </c>
      <c r="D9" s="67" t="s">
        <v>45</v>
      </c>
      <c r="E9" s="73">
        <v>200000</v>
      </c>
      <c r="F9" s="67" t="s">
        <v>46</v>
      </c>
      <c r="G9" s="19" t="str">
        <f t="shared" ref="G9:G16" si="0">IF(F9="","",HYPERLINK("anexos/"&amp;F9,"📎 abrir"))</f>
        <v>📎 abrir</v>
      </c>
      <c r="H9" s="20">
        <f t="shared" ref="H9:H16" si="1">IF(OR(E9="",$E$17=0),"",E9/$E$17)</f>
        <v>0.3007518796992481</v>
      </c>
      <c r="I9" s="21" t="str">
        <f t="shared" ref="I9:I16" si="2">IF(AND(D9="",E9="",F9=""),"",IF(D9="","⚠ escolha o banco",IF(E9="","⚠ informe o valor",IF(F9="","⚠ falta anexo",IF(COUNTIF($D$9:$D$16,D9)&gt;1,"✖ banco repetido","✔ completo")))))</f>
        <v>✔ completo</v>
      </c>
    </row>
    <row r="10" spans="1:9" ht="21.95" customHeight="1" x14ac:dyDescent="0.25">
      <c r="A10" s="1"/>
      <c r="C10" s="18">
        <v>2</v>
      </c>
      <c r="D10" s="92" t="s">
        <v>47</v>
      </c>
      <c r="E10" s="73">
        <v>315000</v>
      </c>
      <c r="F10" s="67" t="s">
        <v>48</v>
      </c>
      <c r="G10" s="19" t="str">
        <f t="shared" si="0"/>
        <v>📎 abrir</v>
      </c>
      <c r="H10" s="20">
        <f t="shared" si="1"/>
        <v>0.47368421052631576</v>
      </c>
      <c r="I10" s="21" t="str">
        <f t="shared" si="2"/>
        <v>✔ completo</v>
      </c>
    </row>
    <row r="11" spans="1:9" ht="21.95" customHeight="1" x14ac:dyDescent="0.25">
      <c r="A11" s="93" t="str">
        <f>HYPERLINK("#'INÍCIO'!A1","   INÍCIO")</f>
        <v xml:space="preserve">   INÍCIO</v>
      </c>
      <c r="C11" s="18">
        <v>3</v>
      </c>
      <c r="D11" s="67" t="s">
        <v>49</v>
      </c>
      <c r="E11" s="73">
        <v>150000</v>
      </c>
      <c r="F11" s="67" t="s">
        <v>50</v>
      </c>
      <c r="G11" s="19" t="str">
        <f t="shared" si="0"/>
        <v>📎 abrir</v>
      </c>
      <c r="H11" s="20">
        <f t="shared" si="1"/>
        <v>0.22556390977443608</v>
      </c>
      <c r="I11" s="21" t="str">
        <f t="shared" si="2"/>
        <v>✔ completo</v>
      </c>
    </row>
    <row r="12" spans="1:9" ht="21.95" customHeight="1" x14ac:dyDescent="0.25">
      <c r="A12" s="93" t="str">
        <f>HYPERLINK("#'TITULAR'!A1","   TITULAR")</f>
        <v xml:space="preserve">   TITULAR</v>
      </c>
      <c r="C12" s="18">
        <v>4</v>
      </c>
      <c r="D12" s="67"/>
      <c r="E12" s="73"/>
      <c r="F12" s="67"/>
      <c r="G12" s="19" t="str">
        <f t="shared" si="0"/>
        <v/>
      </c>
      <c r="H12" s="20" t="str">
        <f t="shared" si="1"/>
        <v/>
      </c>
      <c r="I12" s="21" t="str">
        <f t="shared" si="2"/>
        <v/>
      </c>
    </row>
    <row r="13" spans="1:9" ht="21.95" customHeight="1" x14ac:dyDescent="0.25">
      <c r="A13" s="94" t="str">
        <f>HYPERLINK("#'INFORMES'!A1","   INFORMES")</f>
        <v xml:space="preserve">   INFORMES</v>
      </c>
      <c r="C13" s="18">
        <v>5</v>
      </c>
      <c r="D13" s="67"/>
      <c r="E13" s="73"/>
      <c r="F13" s="67"/>
      <c r="G13" s="19" t="str">
        <f t="shared" si="0"/>
        <v/>
      </c>
      <c r="H13" s="20" t="str">
        <f t="shared" si="1"/>
        <v/>
      </c>
      <c r="I13" s="21" t="str">
        <f t="shared" si="2"/>
        <v/>
      </c>
    </row>
    <row r="14" spans="1:9" ht="21.95" customHeight="1" x14ac:dyDescent="0.25">
      <c r="A14" s="93" t="str">
        <f>HYPERLINK("#'NOTAS'!A1","   NOTAS")</f>
        <v xml:space="preserve">   NOTAS</v>
      </c>
      <c r="C14" s="18">
        <v>6</v>
      </c>
      <c r="D14" s="67"/>
      <c r="E14" s="73"/>
      <c r="F14" s="67"/>
      <c r="G14" s="19" t="str">
        <f t="shared" si="0"/>
        <v/>
      </c>
      <c r="H14" s="20" t="str">
        <f t="shared" si="1"/>
        <v/>
      </c>
      <c r="I14" s="21" t="str">
        <f t="shared" si="2"/>
        <v/>
      </c>
    </row>
    <row r="15" spans="1:9" ht="21.95" customHeight="1" x14ac:dyDescent="0.25">
      <c r="A15" s="93" t="str">
        <f>HYPERLINK("#'DEDUÇÕES'!A1","   DEDUÇÕES")</f>
        <v xml:space="preserve">   DEDUÇÕES</v>
      </c>
      <c r="C15" s="18">
        <v>7</v>
      </c>
      <c r="D15" s="67"/>
      <c r="E15" s="73"/>
      <c r="F15" s="67"/>
      <c r="G15" s="19" t="str">
        <f t="shared" si="0"/>
        <v/>
      </c>
      <c r="H15" s="20" t="str">
        <f t="shared" si="1"/>
        <v/>
      </c>
      <c r="I15" s="21" t="str">
        <f t="shared" si="2"/>
        <v/>
      </c>
    </row>
    <row r="16" spans="1:9" ht="21.95" customHeight="1" x14ac:dyDescent="0.25">
      <c r="A16" s="93" t="str">
        <f>HYPERLINK("#'RESUMO'!A1","   RESUMO")</f>
        <v xml:space="preserve">   RESUMO</v>
      </c>
      <c r="C16" s="18">
        <v>8</v>
      </c>
      <c r="D16" s="67"/>
      <c r="E16" s="73"/>
      <c r="F16" s="67"/>
      <c r="G16" s="19" t="str">
        <f t="shared" si="0"/>
        <v/>
      </c>
      <c r="H16" s="20" t="str">
        <f t="shared" si="1"/>
        <v/>
      </c>
      <c r="I16" s="21" t="str">
        <f t="shared" si="2"/>
        <v/>
      </c>
    </row>
    <row r="17" spans="1:9" ht="21.95" customHeight="1" x14ac:dyDescent="0.25">
      <c r="A17" s="93" t="str">
        <f>HYPERLINK("#'CHECKLIST'!A1","   CHECKLIST")</f>
        <v xml:space="preserve">   CHECKLIST</v>
      </c>
      <c r="C17" s="22"/>
      <c r="D17" s="23" t="s">
        <v>51</v>
      </c>
      <c r="E17" s="24">
        <f>SUM(E9:E16)</f>
        <v>665000</v>
      </c>
      <c r="F17" s="22"/>
      <c r="G17" s="22"/>
      <c r="H17" s="25">
        <f>SUM(H9:H16)</f>
        <v>0.99999999999999989</v>
      </c>
      <c r="I17" s="22"/>
    </row>
    <row r="18" spans="1:9" ht="21.95" customHeight="1" x14ac:dyDescent="0.25">
      <c r="A18" s="93" t="str">
        <f>HYPERLINK("#'AJUSTES'!A1","   AJUSTES")</f>
        <v xml:space="preserve">   AJUSTES</v>
      </c>
    </row>
    <row r="19" spans="1:9" ht="21.95" customHeight="1" x14ac:dyDescent="0.25">
      <c r="A19" s="1"/>
      <c r="D19" s="14" t="s">
        <v>52</v>
      </c>
    </row>
    <row r="20" spans="1:9" ht="21.95" customHeight="1" x14ac:dyDescent="0.25">
      <c r="A20" s="1"/>
    </row>
    <row r="21" spans="1:9" ht="21.95" customHeight="1" x14ac:dyDescent="0.25">
      <c r="A21" s="6" t="s">
        <v>9</v>
      </c>
    </row>
    <row r="22" spans="1:9" ht="21.95" customHeight="1" x14ac:dyDescent="0.25">
      <c r="A22" s="7" t="s">
        <v>277</v>
      </c>
    </row>
    <row r="23" spans="1:9" ht="21.95" customHeight="1" x14ac:dyDescent="0.25">
      <c r="A23" s="1"/>
    </row>
    <row r="24" spans="1:9" ht="21.95" customHeight="1" x14ac:dyDescent="0.25">
      <c r="A24" s="1"/>
    </row>
    <row r="25" spans="1:9" ht="21.95" customHeight="1" x14ac:dyDescent="0.25">
      <c r="A25" s="1"/>
    </row>
    <row r="26" spans="1:9" ht="21.95" customHeight="1" x14ac:dyDescent="0.25">
      <c r="A26" s="1"/>
    </row>
    <row r="27" spans="1:9" ht="21.95" customHeight="1" x14ac:dyDescent="0.25">
      <c r="A27" s="1"/>
    </row>
    <row r="28" spans="1:9" ht="21.95" customHeight="1" x14ac:dyDescent="0.25">
      <c r="A28" s="1"/>
    </row>
    <row r="29" spans="1:9" ht="21.95" customHeight="1" x14ac:dyDescent="0.25">
      <c r="A29" s="1"/>
    </row>
    <row r="30" spans="1:9" ht="21.95" customHeight="1" x14ac:dyDescent="0.25">
      <c r="A30" s="1"/>
    </row>
    <row r="31" spans="1:9" ht="21.95" customHeight="1" x14ac:dyDescent="0.25">
      <c r="A31" s="1"/>
    </row>
    <row r="32" spans="1:9" ht="21.95" customHeight="1" x14ac:dyDescent="0.25">
      <c r="A32" s="1"/>
    </row>
    <row r="33" spans="1:1" ht="21.95" customHeight="1" x14ac:dyDescent="0.25">
      <c r="A33" s="1"/>
    </row>
    <row r="34" spans="1:1" ht="21.95" customHeight="1" x14ac:dyDescent="0.25">
      <c r="A34" s="1"/>
    </row>
    <row r="35" spans="1:1" ht="21.95" customHeight="1" x14ac:dyDescent="0.25">
      <c r="A35" s="1"/>
    </row>
    <row r="36" spans="1:1" ht="21.95" customHeight="1" x14ac:dyDescent="0.25">
      <c r="A36" s="1"/>
    </row>
    <row r="37" spans="1:1" ht="21.95" customHeight="1" x14ac:dyDescent="0.25">
      <c r="A37" s="1"/>
    </row>
    <row r="38" spans="1:1" ht="21.95" customHeight="1" x14ac:dyDescent="0.25">
      <c r="A38" s="1"/>
    </row>
    <row r="39" spans="1:1" ht="21.95" customHeight="1" x14ac:dyDescent="0.25">
      <c r="A39" s="1"/>
    </row>
    <row r="40" spans="1:1" ht="21.95" customHeight="1" x14ac:dyDescent="0.25">
      <c r="A40" s="1"/>
    </row>
    <row r="41" spans="1:1" ht="21.95" customHeight="1" x14ac:dyDescent="0.25">
      <c r="A41" s="1"/>
    </row>
    <row r="42" spans="1:1" ht="21.95" customHeight="1" x14ac:dyDescent="0.25">
      <c r="A42" s="1"/>
    </row>
    <row r="43" spans="1:1" ht="21.95" customHeight="1" x14ac:dyDescent="0.25">
      <c r="A43" s="1"/>
    </row>
    <row r="44" spans="1:1" ht="21.95" customHeight="1" x14ac:dyDescent="0.25">
      <c r="A44" s="1"/>
    </row>
    <row r="45" spans="1:1" ht="21.95" customHeight="1" x14ac:dyDescent="0.25">
      <c r="A45" s="1"/>
    </row>
    <row r="46" spans="1:1" ht="21.95" customHeight="1" x14ac:dyDescent="0.25">
      <c r="A46" s="1"/>
    </row>
    <row r="47" spans="1:1" ht="21.95" customHeight="1" x14ac:dyDescent="0.25">
      <c r="A47" s="1"/>
    </row>
    <row r="48" spans="1:1" ht="21.95" customHeight="1" x14ac:dyDescent="0.25">
      <c r="A48" s="1"/>
    </row>
    <row r="49" spans="1:1" ht="21.95" customHeight="1" x14ac:dyDescent="0.25">
      <c r="A49" s="1"/>
    </row>
    <row r="50" spans="1:1" ht="21.95" customHeight="1" x14ac:dyDescent="0.25">
      <c r="A50" s="1"/>
    </row>
    <row r="51" spans="1:1" ht="21.95" customHeight="1" x14ac:dyDescent="0.25">
      <c r="A51" s="1"/>
    </row>
    <row r="52" spans="1:1" ht="21.95" customHeight="1" x14ac:dyDescent="0.25">
      <c r="A52" s="1"/>
    </row>
    <row r="53" spans="1:1" ht="21.95" customHeight="1" x14ac:dyDescent="0.25">
      <c r="A53" s="1"/>
    </row>
    <row r="54" spans="1:1" ht="21.95" customHeight="1" x14ac:dyDescent="0.25">
      <c r="A54" s="1"/>
    </row>
    <row r="55" spans="1:1" ht="21.95" customHeight="1" x14ac:dyDescent="0.25">
      <c r="A55" s="1"/>
    </row>
    <row r="56" spans="1:1" ht="21.95" customHeight="1" x14ac:dyDescent="0.25">
      <c r="A56" s="1"/>
    </row>
    <row r="57" spans="1:1" ht="21.95" customHeight="1" x14ac:dyDescent="0.25">
      <c r="A57" s="1"/>
    </row>
    <row r="58" spans="1:1" ht="21.95" customHeight="1" x14ac:dyDescent="0.25">
      <c r="A58" s="1"/>
    </row>
    <row r="59" spans="1:1" ht="21.95" customHeight="1" x14ac:dyDescent="0.25">
      <c r="A59" s="1"/>
    </row>
    <row r="60" spans="1:1" ht="21.95" customHeight="1" x14ac:dyDescent="0.25">
      <c r="A60" s="1"/>
    </row>
    <row r="61" spans="1:1" ht="21.95" customHeight="1" x14ac:dyDescent="0.25">
      <c r="A61" s="1"/>
    </row>
    <row r="62" spans="1:1" ht="21.95" customHeight="1" x14ac:dyDescent="0.25">
      <c r="A62" s="1"/>
    </row>
    <row r="63" spans="1:1" ht="21.95" customHeight="1" x14ac:dyDescent="0.25">
      <c r="A63" s="1"/>
    </row>
    <row r="64" spans="1:1" ht="21.95" customHeight="1" x14ac:dyDescent="0.25">
      <c r="A64" s="1"/>
    </row>
    <row r="65" spans="1:1" ht="21.95" customHeight="1" x14ac:dyDescent="0.25">
      <c r="A65" s="1"/>
    </row>
    <row r="66" spans="1:1" ht="21.95" customHeight="1" x14ac:dyDescent="0.25">
      <c r="A66" s="1"/>
    </row>
    <row r="67" spans="1:1" ht="21.95" customHeight="1" x14ac:dyDescent="0.25">
      <c r="A67" s="1"/>
    </row>
    <row r="68" spans="1:1" ht="21.95" customHeight="1" x14ac:dyDescent="0.25">
      <c r="A68" s="1"/>
    </row>
    <row r="69" spans="1:1" ht="21.95" customHeight="1" x14ac:dyDescent="0.25">
      <c r="A69" s="1"/>
    </row>
    <row r="70" spans="1:1" ht="21.95" customHeight="1" x14ac:dyDescent="0.25">
      <c r="A70" s="1"/>
    </row>
    <row r="71" spans="1:1" ht="21.95" customHeight="1" x14ac:dyDescent="0.25">
      <c r="A71" s="1"/>
    </row>
    <row r="72" spans="1:1" ht="21.95" customHeight="1" x14ac:dyDescent="0.25">
      <c r="A72" s="1"/>
    </row>
    <row r="73" spans="1:1" ht="21.95" customHeight="1" x14ac:dyDescent="0.25">
      <c r="A73" s="1"/>
    </row>
    <row r="74" spans="1:1" ht="21.95" customHeight="1" x14ac:dyDescent="0.25">
      <c r="A74" s="1"/>
    </row>
  </sheetData>
  <sheetProtection sheet="1" objects="1" scenarios="1" selectLockedCells="1"/>
  <conditionalFormatting sqref="I9:I16">
    <cfRule type="expression" dxfId="19" priority="1">
      <formula>LEFT(I9,1)="✔"</formula>
    </cfRule>
    <cfRule type="expression" dxfId="18" priority="2">
      <formula>LEFT(I9,1)="⚠"</formula>
    </cfRule>
    <cfRule type="expression" dxfId="17" priority="3">
      <formula>LEFT(I9,1)="✖"</formula>
    </cfRule>
  </conditionalFormatting>
  <dataValidations count="3">
    <dataValidation type="list" allowBlank="1" showInputMessage="1" showErrorMessage="1" errorTitle="Banco inválido" error="Escolha uma instituição da lista (código - nome)." promptTitle="Dica" prompt="Escolha o banco na lista suspensa" sqref="D9:D16" xr:uid="{00000000-0002-0000-0200-000000000000}">
      <formula1>lst_bancos</formula1>
    </dataValidation>
    <dataValidation type="decimal" allowBlank="1" showErrorMessage="1" errorTitle="Valor inválido" error="Informe um valor numérico maior ou igual a zero." sqref="E9:E16" xr:uid="{00000000-0002-0000-0200-000001000000}">
      <formula1>0</formula1>
      <formula2>999999999</formula2>
    </dataValidation>
    <dataValidation type="custom" allowBlank="1" showInputMessage="1" showErrorMessage="1" errorTitle="Anexo inválido" error="Informe o nome do arquivo com extensão .pdf, .png ou .jpg (ex.: bb_2025.pdf)." promptTitle="Dica" prompt="Nome do arquivo salvo na pasta /anexos" sqref="F9:F16" xr:uid="{00000000-0002-0000-0200-000002000000}">
      <formula1>OR(RIGHT(LOWER(F9),4)=".pdf",RIGHT(LOWER(F9),4)=".png",RIGHT(LOWER(F9),4)=".jpg")</formula1>
    </dataValidation>
  </dataValidations>
  <pageMargins left="0.75" right="0.75" top="1" bottom="1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A4A5C"/>
    <pageSetUpPr fitToPage="1"/>
  </sheetPr>
  <dimension ref="A1:H208"/>
  <sheetViews>
    <sheetView showGridLines="0" showRowColHeaders="0" workbookViewId="0">
      <selection activeCell="A13" sqref="A13"/>
    </sheetView>
  </sheetViews>
  <sheetFormatPr defaultColWidth="0" defaultRowHeight="15" x14ac:dyDescent="0.25"/>
  <cols>
    <col min="1" max="1" width="26" customWidth="1"/>
    <col min="2" max="2" width="3" customWidth="1"/>
    <col min="3" max="3" width="14" customWidth="1"/>
    <col min="4" max="4" width="34" customWidth="1"/>
    <col min="5" max="5" width="32" customWidth="1"/>
    <col min="6" max="6" width="18" customWidth="1"/>
    <col min="7" max="7" width="24" customWidth="1"/>
    <col min="8" max="8" width="8" customWidth="1"/>
    <col min="9" max="9" width="9.140625" customWidth="1"/>
    <col min="10" max="16384" width="9.140625" hidden="1"/>
  </cols>
  <sheetData>
    <row r="1" spans="1:8" ht="21.95" customHeight="1" x14ac:dyDescent="0.25">
      <c r="A1" s="1"/>
    </row>
    <row r="2" spans="1:8" ht="27.95" customHeight="1" x14ac:dyDescent="0.25">
      <c r="A2" s="2" t="s">
        <v>0</v>
      </c>
    </row>
    <row r="3" spans="1:8" ht="27.95" customHeight="1" x14ac:dyDescent="0.25">
      <c r="A3" s="1"/>
      <c r="C3" s="9" t="s">
        <v>53</v>
      </c>
    </row>
    <row r="4" spans="1:8" ht="21.95" customHeight="1" x14ac:dyDescent="0.25">
      <c r="A4" s="1"/>
      <c r="C4" s="5" t="s">
        <v>54</v>
      </c>
    </row>
    <row r="5" spans="1:8" ht="21.95" customHeight="1" x14ac:dyDescent="0.25">
      <c r="A5" s="1"/>
      <c r="D5" s="61" t="s">
        <v>12</v>
      </c>
      <c r="E5" s="62" t="s">
        <v>13</v>
      </c>
    </row>
    <row r="6" spans="1:8" ht="21.95" customHeight="1" x14ac:dyDescent="0.25">
      <c r="A6" s="1"/>
      <c r="D6" s="15" t="s">
        <v>55</v>
      </c>
      <c r="E6" s="26">
        <f>SUM(F9:F208)</f>
        <v>41650</v>
      </c>
      <c r="F6" s="27" t="str">
        <f>COUNT(F9:F208)&amp;" lançamentos"</f>
        <v>16 lançamentos</v>
      </c>
    </row>
    <row r="7" spans="1:8" ht="21.95" customHeight="1" x14ac:dyDescent="0.25">
      <c r="A7" s="1"/>
    </row>
    <row r="8" spans="1:8" ht="21.95" customHeight="1" x14ac:dyDescent="0.25">
      <c r="A8" s="1"/>
      <c r="C8" s="68" t="s">
        <v>56</v>
      </c>
      <c r="D8" s="68" t="s">
        <v>57</v>
      </c>
      <c r="E8" s="68" t="s">
        <v>58</v>
      </c>
      <c r="F8" s="68" t="s">
        <v>59</v>
      </c>
      <c r="G8" s="17" t="s">
        <v>60</v>
      </c>
      <c r="H8" s="17" t="s">
        <v>61</v>
      </c>
    </row>
    <row r="9" spans="1:8" ht="21.95" customHeight="1" x14ac:dyDescent="0.25">
      <c r="A9" s="1"/>
      <c r="C9" s="69">
        <v>45685</v>
      </c>
      <c r="D9" s="70" t="s">
        <v>62</v>
      </c>
      <c r="E9" s="70" t="s">
        <v>63</v>
      </c>
      <c r="F9" s="72">
        <v>3000</v>
      </c>
      <c r="G9" s="13" t="str">
        <f t="shared" ref="G9:G40" si="0">IF(D9="","",IFERROR(INDEX(lst_tipofiscal,MATCH(D9,lst_categorias,0)),"Tributável"))</f>
        <v>Tributável</v>
      </c>
      <c r="H9" s="18">
        <f t="shared" ref="H9:H40" si="1">IF(C9="","",MONTH(C9))</f>
        <v>1</v>
      </c>
    </row>
    <row r="10" spans="1:8" ht="21.95" customHeight="1" x14ac:dyDescent="0.25">
      <c r="A10" s="1"/>
      <c r="C10" s="69">
        <v>45716</v>
      </c>
      <c r="D10" s="70" t="s">
        <v>62</v>
      </c>
      <c r="E10" s="70" t="s">
        <v>63</v>
      </c>
      <c r="F10" s="72">
        <v>3000</v>
      </c>
      <c r="G10" s="13" t="str">
        <f t="shared" si="0"/>
        <v>Tributável</v>
      </c>
      <c r="H10" s="18">
        <f t="shared" si="1"/>
        <v>2</v>
      </c>
    </row>
    <row r="11" spans="1:8" ht="21.95" customHeight="1" x14ac:dyDescent="0.25">
      <c r="A11" s="93" t="str">
        <f>HYPERLINK("#'INÍCIO'!A1","   INÍCIO")</f>
        <v xml:space="preserve">   INÍCIO</v>
      </c>
      <c r="C11" s="69">
        <v>45744</v>
      </c>
      <c r="D11" s="70" t="s">
        <v>62</v>
      </c>
      <c r="E11" s="70" t="s">
        <v>63</v>
      </c>
      <c r="F11" s="72">
        <v>3000</v>
      </c>
      <c r="G11" s="13" t="str">
        <f t="shared" si="0"/>
        <v>Tributável</v>
      </c>
      <c r="H11" s="18">
        <f t="shared" si="1"/>
        <v>3</v>
      </c>
    </row>
    <row r="12" spans="1:8" ht="21.95" customHeight="1" x14ac:dyDescent="0.25">
      <c r="A12" s="93" t="str">
        <f>HYPERLINK("#'TITULAR'!A1","   TITULAR")</f>
        <v xml:space="preserve">   TITULAR</v>
      </c>
      <c r="C12" s="69">
        <v>45775</v>
      </c>
      <c r="D12" s="70" t="s">
        <v>62</v>
      </c>
      <c r="E12" s="70" t="s">
        <v>63</v>
      </c>
      <c r="F12" s="72">
        <v>3000</v>
      </c>
      <c r="G12" s="13" t="str">
        <f t="shared" si="0"/>
        <v>Tributável</v>
      </c>
      <c r="H12" s="18">
        <f t="shared" si="1"/>
        <v>4</v>
      </c>
    </row>
    <row r="13" spans="1:8" ht="21.95" customHeight="1" x14ac:dyDescent="0.25">
      <c r="A13" s="93" t="str">
        <f>HYPERLINK("#'INFORMES'!A1","   INFORMES")</f>
        <v xml:space="preserve">   INFORMES</v>
      </c>
      <c r="C13" s="69">
        <v>45805</v>
      </c>
      <c r="D13" s="70" t="s">
        <v>62</v>
      </c>
      <c r="E13" s="70" t="s">
        <v>63</v>
      </c>
      <c r="F13" s="72">
        <v>3000</v>
      </c>
      <c r="G13" s="13" t="str">
        <f t="shared" si="0"/>
        <v>Tributável</v>
      </c>
      <c r="H13" s="18">
        <f t="shared" si="1"/>
        <v>5</v>
      </c>
    </row>
    <row r="14" spans="1:8" ht="21.95" customHeight="1" x14ac:dyDescent="0.25">
      <c r="A14" s="94" t="str">
        <f>HYPERLINK("#'NOTAS'!A1","   NOTAS")</f>
        <v xml:space="preserve">   NOTAS</v>
      </c>
      <c r="C14" s="69">
        <v>45836</v>
      </c>
      <c r="D14" s="70" t="s">
        <v>62</v>
      </c>
      <c r="E14" s="70" t="s">
        <v>63</v>
      </c>
      <c r="F14" s="72">
        <v>3000</v>
      </c>
      <c r="G14" s="13" t="str">
        <f t="shared" si="0"/>
        <v>Tributável</v>
      </c>
      <c r="H14" s="18">
        <f t="shared" si="1"/>
        <v>6</v>
      </c>
    </row>
    <row r="15" spans="1:8" ht="21.95" customHeight="1" x14ac:dyDescent="0.25">
      <c r="A15" s="93" t="str">
        <f>HYPERLINK("#'DEDUÇÕES'!A1","   DEDUÇÕES")</f>
        <v xml:space="preserve">   DEDUÇÕES</v>
      </c>
      <c r="C15" s="69">
        <v>45866</v>
      </c>
      <c r="D15" s="70" t="s">
        <v>62</v>
      </c>
      <c r="E15" s="70" t="s">
        <v>63</v>
      </c>
      <c r="F15" s="72">
        <v>3000</v>
      </c>
      <c r="G15" s="13" t="str">
        <f t="shared" si="0"/>
        <v>Tributável</v>
      </c>
      <c r="H15" s="18">
        <f t="shared" si="1"/>
        <v>7</v>
      </c>
    </row>
    <row r="16" spans="1:8" ht="21.95" customHeight="1" x14ac:dyDescent="0.25">
      <c r="A16" s="93" t="str">
        <f>HYPERLINK("#'RESUMO'!A1","   RESUMO")</f>
        <v xml:space="preserve">   RESUMO</v>
      </c>
      <c r="C16" s="69">
        <v>45897</v>
      </c>
      <c r="D16" s="70" t="s">
        <v>62</v>
      </c>
      <c r="E16" s="70" t="s">
        <v>63</v>
      </c>
      <c r="F16" s="72">
        <v>3000</v>
      </c>
      <c r="G16" s="13" t="str">
        <f t="shared" si="0"/>
        <v>Tributável</v>
      </c>
      <c r="H16" s="18">
        <f t="shared" si="1"/>
        <v>8</v>
      </c>
    </row>
    <row r="17" spans="1:8" ht="21.95" customHeight="1" x14ac:dyDescent="0.25">
      <c r="A17" s="93" t="str">
        <f>HYPERLINK("#'CHECKLIST'!A1","   CHECKLIST")</f>
        <v xml:space="preserve">   CHECKLIST</v>
      </c>
      <c r="C17" s="69">
        <v>45928</v>
      </c>
      <c r="D17" s="70" t="s">
        <v>62</v>
      </c>
      <c r="E17" s="70" t="s">
        <v>63</v>
      </c>
      <c r="F17" s="72">
        <v>3000</v>
      </c>
      <c r="G17" s="13" t="str">
        <f t="shared" si="0"/>
        <v>Tributável</v>
      </c>
      <c r="H17" s="18">
        <f t="shared" si="1"/>
        <v>9</v>
      </c>
    </row>
    <row r="18" spans="1:8" ht="21.95" customHeight="1" x14ac:dyDescent="0.25">
      <c r="A18" s="93" t="str">
        <f>HYPERLINK("#'AJUSTES'!A1","   AJUSTES")</f>
        <v xml:space="preserve">   AJUSTES</v>
      </c>
      <c r="C18" s="69">
        <v>45958</v>
      </c>
      <c r="D18" s="70" t="s">
        <v>62</v>
      </c>
      <c r="E18" s="70" t="s">
        <v>63</v>
      </c>
      <c r="F18" s="72">
        <v>3000</v>
      </c>
      <c r="G18" s="13" t="str">
        <f t="shared" si="0"/>
        <v>Tributável</v>
      </c>
      <c r="H18" s="18">
        <f t="shared" si="1"/>
        <v>10</v>
      </c>
    </row>
    <row r="19" spans="1:8" ht="21.95" customHeight="1" x14ac:dyDescent="0.25">
      <c r="A19" s="1"/>
      <c r="C19" s="69">
        <v>45989</v>
      </c>
      <c r="D19" s="70" t="s">
        <v>62</v>
      </c>
      <c r="E19" s="70" t="s">
        <v>63</v>
      </c>
      <c r="F19" s="72">
        <v>3000</v>
      </c>
      <c r="G19" s="13" t="str">
        <f t="shared" si="0"/>
        <v>Tributável</v>
      </c>
      <c r="H19" s="18">
        <f t="shared" si="1"/>
        <v>11</v>
      </c>
    </row>
    <row r="20" spans="1:8" ht="21.95" customHeight="1" x14ac:dyDescent="0.25">
      <c r="A20" s="1"/>
      <c r="C20" s="69">
        <v>46019</v>
      </c>
      <c r="D20" s="70" t="s">
        <v>62</v>
      </c>
      <c r="E20" s="70" t="s">
        <v>63</v>
      </c>
      <c r="F20" s="72">
        <v>3000</v>
      </c>
      <c r="G20" s="13" t="str">
        <f t="shared" si="0"/>
        <v>Tributável</v>
      </c>
      <c r="H20" s="18">
        <f t="shared" si="1"/>
        <v>12</v>
      </c>
    </row>
    <row r="21" spans="1:8" ht="21.95" customHeight="1" x14ac:dyDescent="0.25">
      <c r="A21" s="6" t="s">
        <v>9</v>
      </c>
      <c r="C21" s="69">
        <v>46011</v>
      </c>
      <c r="D21" s="70" t="s">
        <v>64</v>
      </c>
      <c r="E21" s="70" t="s">
        <v>65</v>
      </c>
      <c r="F21" s="72">
        <v>3000</v>
      </c>
      <c r="G21" s="13" t="str">
        <f t="shared" si="0"/>
        <v>Exclusivo na fonte</v>
      </c>
      <c r="H21" s="18">
        <f t="shared" si="1"/>
        <v>12</v>
      </c>
    </row>
    <row r="22" spans="1:8" ht="21.95" customHeight="1" x14ac:dyDescent="0.25">
      <c r="A22" s="7" t="s">
        <v>277</v>
      </c>
      <c r="C22" s="69">
        <v>45838</v>
      </c>
      <c r="D22" s="70" t="s">
        <v>66</v>
      </c>
      <c r="E22" s="70" t="s">
        <v>67</v>
      </c>
      <c r="F22" s="72">
        <v>1250</v>
      </c>
      <c r="G22" s="13" t="str">
        <f t="shared" si="0"/>
        <v>Exclusivo na fonte</v>
      </c>
      <c r="H22" s="18">
        <f t="shared" si="1"/>
        <v>6</v>
      </c>
    </row>
    <row r="23" spans="1:8" ht="21.95" customHeight="1" x14ac:dyDescent="0.25">
      <c r="A23" s="1"/>
      <c r="C23" s="69">
        <v>45915</v>
      </c>
      <c r="D23" s="70" t="s">
        <v>68</v>
      </c>
      <c r="E23" s="70" t="s">
        <v>69</v>
      </c>
      <c r="F23" s="72">
        <v>480</v>
      </c>
      <c r="G23" s="13" t="str">
        <f t="shared" si="0"/>
        <v>Isento / não tributável</v>
      </c>
      <c r="H23" s="18">
        <f t="shared" si="1"/>
        <v>9</v>
      </c>
    </row>
    <row r="24" spans="1:8" ht="21.95" customHeight="1" x14ac:dyDescent="0.25">
      <c r="A24" s="1"/>
      <c r="C24" s="69">
        <v>46022</v>
      </c>
      <c r="D24" s="70" t="s">
        <v>70</v>
      </c>
      <c r="E24" s="70" t="s">
        <v>71</v>
      </c>
      <c r="F24" s="72">
        <v>920</v>
      </c>
      <c r="G24" s="13" t="str">
        <f t="shared" si="0"/>
        <v>Isento / não tributável</v>
      </c>
      <c r="H24" s="18">
        <f t="shared" si="1"/>
        <v>12</v>
      </c>
    </row>
    <row r="25" spans="1:8" ht="21.95" customHeight="1" x14ac:dyDescent="0.25">
      <c r="A25" s="1"/>
      <c r="C25" s="69"/>
      <c r="D25" s="70"/>
      <c r="E25" s="70"/>
      <c r="F25" s="72"/>
      <c r="G25" s="13" t="str">
        <f t="shared" si="0"/>
        <v/>
      </c>
      <c r="H25" s="18" t="str">
        <f t="shared" si="1"/>
        <v/>
      </c>
    </row>
    <row r="26" spans="1:8" ht="21.95" customHeight="1" x14ac:dyDescent="0.25">
      <c r="A26" s="1"/>
      <c r="C26" s="69"/>
      <c r="D26" s="70"/>
      <c r="E26" s="70"/>
      <c r="F26" s="72"/>
      <c r="G26" s="13" t="str">
        <f t="shared" si="0"/>
        <v/>
      </c>
      <c r="H26" s="18" t="str">
        <f t="shared" si="1"/>
        <v/>
      </c>
    </row>
    <row r="27" spans="1:8" ht="21.95" customHeight="1" x14ac:dyDescent="0.25">
      <c r="A27" s="1"/>
      <c r="C27" s="69"/>
      <c r="D27" s="70"/>
      <c r="E27" s="70"/>
      <c r="F27" s="72"/>
      <c r="G27" s="13" t="str">
        <f t="shared" si="0"/>
        <v/>
      </c>
      <c r="H27" s="18" t="str">
        <f t="shared" si="1"/>
        <v/>
      </c>
    </row>
    <row r="28" spans="1:8" ht="21.95" customHeight="1" x14ac:dyDescent="0.25">
      <c r="A28" s="1"/>
      <c r="C28" s="69"/>
      <c r="D28" s="70"/>
      <c r="E28" s="70"/>
      <c r="F28" s="72"/>
      <c r="G28" s="13" t="str">
        <f t="shared" si="0"/>
        <v/>
      </c>
      <c r="H28" s="18" t="str">
        <f t="shared" si="1"/>
        <v/>
      </c>
    </row>
    <row r="29" spans="1:8" ht="21.95" customHeight="1" x14ac:dyDescent="0.25">
      <c r="A29" s="1"/>
      <c r="C29" s="69"/>
      <c r="D29" s="70"/>
      <c r="E29" s="70"/>
      <c r="F29" s="72"/>
      <c r="G29" s="13" t="str">
        <f t="shared" si="0"/>
        <v/>
      </c>
      <c r="H29" s="18" t="str">
        <f t="shared" si="1"/>
        <v/>
      </c>
    </row>
    <row r="30" spans="1:8" ht="21.95" customHeight="1" x14ac:dyDescent="0.25">
      <c r="A30" s="1"/>
      <c r="C30" s="69"/>
      <c r="D30" s="70"/>
      <c r="E30" s="70"/>
      <c r="F30" s="72"/>
      <c r="G30" s="13" t="str">
        <f t="shared" si="0"/>
        <v/>
      </c>
      <c r="H30" s="18" t="str">
        <f t="shared" si="1"/>
        <v/>
      </c>
    </row>
    <row r="31" spans="1:8" ht="21.95" customHeight="1" x14ac:dyDescent="0.25">
      <c r="A31" s="1"/>
      <c r="C31" s="69"/>
      <c r="D31" s="70"/>
      <c r="E31" s="70"/>
      <c r="F31" s="72"/>
      <c r="G31" s="13" t="str">
        <f t="shared" si="0"/>
        <v/>
      </c>
      <c r="H31" s="18" t="str">
        <f t="shared" si="1"/>
        <v/>
      </c>
    </row>
    <row r="32" spans="1:8" ht="21.95" customHeight="1" x14ac:dyDescent="0.25">
      <c r="A32" s="1"/>
      <c r="C32" s="69"/>
      <c r="D32" s="70"/>
      <c r="E32" s="70"/>
      <c r="F32" s="72"/>
      <c r="G32" s="13" t="str">
        <f t="shared" si="0"/>
        <v/>
      </c>
      <c r="H32" s="18" t="str">
        <f t="shared" si="1"/>
        <v/>
      </c>
    </row>
    <row r="33" spans="1:8" ht="21.95" customHeight="1" x14ac:dyDescent="0.25">
      <c r="A33" s="1"/>
      <c r="C33" s="69"/>
      <c r="D33" s="70"/>
      <c r="E33" s="70"/>
      <c r="F33" s="72"/>
      <c r="G33" s="13" t="str">
        <f t="shared" si="0"/>
        <v/>
      </c>
      <c r="H33" s="18" t="str">
        <f t="shared" si="1"/>
        <v/>
      </c>
    </row>
    <row r="34" spans="1:8" ht="21.95" customHeight="1" x14ac:dyDescent="0.25">
      <c r="A34" s="1"/>
      <c r="C34" s="69"/>
      <c r="D34" s="70"/>
      <c r="E34" s="70"/>
      <c r="F34" s="72"/>
      <c r="G34" s="13" t="str">
        <f t="shared" si="0"/>
        <v/>
      </c>
      <c r="H34" s="18" t="str">
        <f t="shared" si="1"/>
        <v/>
      </c>
    </row>
    <row r="35" spans="1:8" ht="21.95" customHeight="1" x14ac:dyDescent="0.25">
      <c r="A35" s="1"/>
      <c r="C35" s="69"/>
      <c r="D35" s="70"/>
      <c r="E35" s="70"/>
      <c r="F35" s="72"/>
      <c r="G35" s="13" t="str">
        <f t="shared" si="0"/>
        <v/>
      </c>
      <c r="H35" s="18" t="str">
        <f t="shared" si="1"/>
        <v/>
      </c>
    </row>
    <row r="36" spans="1:8" ht="21.95" customHeight="1" x14ac:dyDescent="0.25">
      <c r="A36" s="1"/>
      <c r="C36" s="69"/>
      <c r="D36" s="70"/>
      <c r="E36" s="70"/>
      <c r="F36" s="72"/>
      <c r="G36" s="13" t="str">
        <f t="shared" si="0"/>
        <v/>
      </c>
      <c r="H36" s="18" t="str">
        <f t="shared" si="1"/>
        <v/>
      </c>
    </row>
    <row r="37" spans="1:8" ht="21.95" customHeight="1" x14ac:dyDescent="0.25">
      <c r="A37" s="1"/>
      <c r="C37" s="69"/>
      <c r="D37" s="70"/>
      <c r="E37" s="70"/>
      <c r="F37" s="72"/>
      <c r="G37" s="13" t="str">
        <f t="shared" si="0"/>
        <v/>
      </c>
      <c r="H37" s="18" t="str">
        <f t="shared" si="1"/>
        <v/>
      </c>
    </row>
    <row r="38" spans="1:8" ht="21.95" customHeight="1" x14ac:dyDescent="0.25">
      <c r="A38" s="1"/>
      <c r="C38" s="69"/>
      <c r="D38" s="70"/>
      <c r="E38" s="70"/>
      <c r="F38" s="72"/>
      <c r="G38" s="13" t="str">
        <f t="shared" si="0"/>
        <v/>
      </c>
      <c r="H38" s="18" t="str">
        <f t="shared" si="1"/>
        <v/>
      </c>
    </row>
    <row r="39" spans="1:8" ht="21.95" customHeight="1" x14ac:dyDescent="0.25">
      <c r="A39" s="1"/>
      <c r="C39" s="69"/>
      <c r="D39" s="70"/>
      <c r="E39" s="70"/>
      <c r="F39" s="72"/>
      <c r="G39" s="13" t="str">
        <f t="shared" si="0"/>
        <v/>
      </c>
      <c r="H39" s="18" t="str">
        <f t="shared" si="1"/>
        <v/>
      </c>
    </row>
    <row r="40" spans="1:8" ht="21.95" customHeight="1" x14ac:dyDescent="0.25">
      <c r="A40" s="1"/>
      <c r="C40" s="69"/>
      <c r="D40" s="70"/>
      <c r="E40" s="70"/>
      <c r="F40" s="72"/>
      <c r="G40" s="13" t="str">
        <f t="shared" si="0"/>
        <v/>
      </c>
      <c r="H40" s="18" t="str">
        <f t="shared" si="1"/>
        <v/>
      </c>
    </row>
    <row r="41" spans="1:8" ht="21.95" customHeight="1" x14ac:dyDescent="0.25">
      <c r="A41" s="1"/>
      <c r="C41" s="69"/>
      <c r="D41" s="70"/>
      <c r="E41" s="70"/>
      <c r="F41" s="72"/>
      <c r="G41" s="13" t="str">
        <f t="shared" ref="G41:G72" si="2">IF(D41="","",IFERROR(INDEX(lst_tipofiscal,MATCH(D41,lst_categorias,0)),"Tributável"))</f>
        <v/>
      </c>
      <c r="H41" s="18" t="str">
        <f t="shared" ref="H41:H72" si="3">IF(C41="","",MONTH(C41))</f>
        <v/>
      </c>
    </row>
    <row r="42" spans="1:8" ht="21.95" customHeight="1" x14ac:dyDescent="0.25">
      <c r="A42" s="1"/>
      <c r="C42" s="69"/>
      <c r="D42" s="70"/>
      <c r="E42" s="70"/>
      <c r="F42" s="72"/>
      <c r="G42" s="13" t="str">
        <f t="shared" si="2"/>
        <v/>
      </c>
      <c r="H42" s="18" t="str">
        <f t="shared" si="3"/>
        <v/>
      </c>
    </row>
    <row r="43" spans="1:8" ht="21.95" customHeight="1" x14ac:dyDescent="0.25">
      <c r="A43" s="1"/>
      <c r="C43" s="69"/>
      <c r="D43" s="70"/>
      <c r="E43" s="70"/>
      <c r="F43" s="72"/>
      <c r="G43" s="13" t="str">
        <f t="shared" si="2"/>
        <v/>
      </c>
      <c r="H43" s="18" t="str">
        <f t="shared" si="3"/>
        <v/>
      </c>
    </row>
    <row r="44" spans="1:8" ht="21.95" customHeight="1" x14ac:dyDescent="0.25">
      <c r="A44" s="1"/>
      <c r="C44" s="69"/>
      <c r="D44" s="70"/>
      <c r="E44" s="70"/>
      <c r="F44" s="72"/>
      <c r="G44" s="13" t="str">
        <f t="shared" si="2"/>
        <v/>
      </c>
      <c r="H44" s="18" t="str">
        <f t="shared" si="3"/>
        <v/>
      </c>
    </row>
    <row r="45" spans="1:8" ht="21.95" customHeight="1" x14ac:dyDescent="0.25">
      <c r="A45" s="1"/>
      <c r="C45" s="69"/>
      <c r="D45" s="70"/>
      <c r="E45" s="70"/>
      <c r="F45" s="72"/>
      <c r="G45" s="13" t="str">
        <f t="shared" si="2"/>
        <v/>
      </c>
      <c r="H45" s="18" t="str">
        <f t="shared" si="3"/>
        <v/>
      </c>
    </row>
    <row r="46" spans="1:8" ht="21.95" customHeight="1" x14ac:dyDescent="0.25">
      <c r="A46" s="1"/>
      <c r="C46" s="69"/>
      <c r="D46" s="70"/>
      <c r="E46" s="70"/>
      <c r="F46" s="72"/>
      <c r="G46" s="13" t="str">
        <f t="shared" si="2"/>
        <v/>
      </c>
      <c r="H46" s="18" t="str">
        <f t="shared" si="3"/>
        <v/>
      </c>
    </row>
    <row r="47" spans="1:8" ht="21.95" customHeight="1" x14ac:dyDescent="0.25">
      <c r="A47" s="1"/>
      <c r="C47" s="69"/>
      <c r="D47" s="70"/>
      <c r="E47" s="70"/>
      <c r="F47" s="72"/>
      <c r="G47" s="13" t="str">
        <f t="shared" si="2"/>
        <v/>
      </c>
      <c r="H47" s="18" t="str">
        <f t="shared" si="3"/>
        <v/>
      </c>
    </row>
    <row r="48" spans="1:8" ht="21.95" customHeight="1" x14ac:dyDescent="0.25">
      <c r="A48" s="1"/>
      <c r="C48" s="69"/>
      <c r="D48" s="70"/>
      <c r="E48" s="70"/>
      <c r="F48" s="72"/>
      <c r="G48" s="13" t="str">
        <f t="shared" si="2"/>
        <v/>
      </c>
      <c r="H48" s="18" t="str">
        <f t="shared" si="3"/>
        <v/>
      </c>
    </row>
    <row r="49" spans="1:8" ht="21.95" customHeight="1" x14ac:dyDescent="0.25">
      <c r="A49" s="1"/>
      <c r="C49" s="69"/>
      <c r="D49" s="70"/>
      <c r="E49" s="70"/>
      <c r="F49" s="72"/>
      <c r="G49" s="13" t="str">
        <f t="shared" si="2"/>
        <v/>
      </c>
      <c r="H49" s="18" t="str">
        <f t="shared" si="3"/>
        <v/>
      </c>
    </row>
    <row r="50" spans="1:8" ht="21.95" customHeight="1" x14ac:dyDescent="0.25">
      <c r="A50" s="1"/>
      <c r="C50" s="69"/>
      <c r="D50" s="70"/>
      <c r="E50" s="70"/>
      <c r="F50" s="72"/>
      <c r="G50" s="13" t="str">
        <f t="shared" si="2"/>
        <v/>
      </c>
      <c r="H50" s="18" t="str">
        <f t="shared" si="3"/>
        <v/>
      </c>
    </row>
    <row r="51" spans="1:8" ht="21.95" customHeight="1" x14ac:dyDescent="0.25">
      <c r="A51" s="1"/>
      <c r="C51" s="69"/>
      <c r="D51" s="70"/>
      <c r="E51" s="70"/>
      <c r="F51" s="72"/>
      <c r="G51" s="13" t="str">
        <f t="shared" si="2"/>
        <v/>
      </c>
      <c r="H51" s="18" t="str">
        <f t="shared" si="3"/>
        <v/>
      </c>
    </row>
    <row r="52" spans="1:8" ht="21.95" customHeight="1" x14ac:dyDescent="0.25">
      <c r="A52" s="1"/>
      <c r="C52" s="69"/>
      <c r="D52" s="70"/>
      <c r="E52" s="70"/>
      <c r="F52" s="72"/>
      <c r="G52" s="13" t="str">
        <f t="shared" si="2"/>
        <v/>
      </c>
      <c r="H52" s="18" t="str">
        <f t="shared" si="3"/>
        <v/>
      </c>
    </row>
    <row r="53" spans="1:8" ht="21.95" customHeight="1" x14ac:dyDescent="0.25">
      <c r="A53" s="1"/>
      <c r="C53" s="69"/>
      <c r="D53" s="70"/>
      <c r="E53" s="70"/>
      <c r="F53" s="72"/>
      <c r="G53" s="13" t="str">
        <f t="shared" si="2"/>
        <v/>
      </c>
      <c r="H53" s="18" t="str">
        <f t="shared" si="3"/>
        <v/>
      </c>
    </row>
    <row r="54" spans="1:8" ht="21.95" customHeight="1" x14ac:dyDescent="0.25">
      <c r="A54" s="1"/>
      <c r="C54" s="69"/>
      <c r="D54" s="70"/>
      <c r="E54" s="70"/>
      <c r="F54" s="72"/>
      <c r="G54" s="13" t="str">
        <f t="shared" si="2"/>
        <v/>
      </c>
      <c r="H54" s="18" t="str">
        <f t="shared" si="3"/>
        <v/>
      </c>
    </row>
    <row r="55" spans="1:8" ht="21.95" customHeight="1" x14ac:dyDescent="0.25">
      <c r="A55" s="1"/>
      <c r="C55" s="69"/>
      <c r="D55" s="70"/>
      <c r="E55" s="70"/>
      <c r="F55" s="72"/>
      <c r="G55" s="13" t="str">
        <f t="shared" si="2"/>
        <v/>
      </c>
      <c r="H55" s="18" t="str">
        <f t="shared" si="3"/>
        <v/>
      </c>
    </row>
    <row r="56" spans="1:8" ht="21.95" customHeight="1" x14ac:dyDescent="0.25">
      <c r="A56" s="1"/>
      <c r="C56" s="69"/>
      <c r="D56" s="70"/>
      <c r="E56" s="70"/>
      <c r="F56" s="72"/>
      <c r="G56" s="13" t="str">
        <f t="shared" si="2"/>
        <v/>
      </c>
      <c r="H56" s="18" t="str">
        <f t="shared" si="3"/>
        <v/>
      </c>
    </row>
    <row r="57" spans="1:8" ht="21.95" customHeight="1" x14ac:dyDescent="0.25">
      <c r="A57" s="1"/>
      <c r="C57" s="69"/>
      <c r="D57" s="70"/>
      <c r="E57" s="70"/>
      <c r="F57" s="72"/>
      <c r="G57" s="13" t="str">
        <f t="shared" si="2"/>
        <v/>
      </c>
      <c r="H57" s="18" t="str">
        <f t="shared" si="3"/>
        <v/>
      </c>
    </row>
    <row r="58" spans="1:8" ht="21.95" customHeight="1" x14ac:dyDescent="0.25">
      <c r="A58" s="1"/>
      <c r="C58" s="69"/>
      <c r="D58" s="70"/>
      <c r="E58" s="70"/>
      <c r="F58" s="72"/>
      <c r="G58" s="13" t="str">
        <f t="shared" si="2"/>
        <v/>
      </c>
      <c r="H58" s="18" t="str">
        <f t="shared" si="3"/>
        <v/>
      </c>
    </row>
    <row r="59" spans="1:8" ht="21.95" customHeight="1" x14ac:dyDescent="0.25">
      <c r="A59" s="1"/>
      <c r="C59" s="69"/>
      <c r="D59" s="70"/>
      <c r="E59" s="70"/>
      <c r="F59" s="72"/>
      <c r="G59" s="13" t="str">
        <f t="shared" si="2"/>
        <v/>
      </c>
      <c r="H59" s="18" t="str">
        <f t="shared" si="3"/>
        <v/>
      </c>
    </row>
    <row r="60" spans="1:8" ht="21.95" customHeight="1" x14ac:dyDescent="0.25">
      <c r="A60" s="1"/>
      <c r="C60" s="69"/>
      <c r="D60" s="70"/>
      <c r="E60" s="70"/>
      <c r="F60" s="72"/>
      <c r="G60" s="13" t="str">
        <f t="shared" si="2"/>
        <v/>
      </c>
      <c r="H60" s="18" t="str">
        <f t="shared" si="3"/>
        <v/>
      </c>
    </row>
    <row r="61" spans="1:8" ht="21.95" customHeight="1" x14ac:dyDescent="0.25">
      <c r="A61" s="1"/>
      <c r="C61" s="69"/>
      <c r="D61" s="70"/>
      <c r="E61" s="70"/>
      <c r="F61" s="72"/>
      <c r="G61" s="13" t="str">
        <f t="shared" si="2"/>
        <v/>
      </c>
      <c r="H61" s="18" t="str">
        <f t="shared" si="3"/>
        <v/>
      </c>
    </row>
    <row r="62" spans="1:8" ht="21.95" customHeight="1" x14ac:dyDescent="0.25">
      <c r="A62" s="1"/>
      <c r="C62" s="69"/>
      <c r="D62" s="70"/>
      <c r="E62" s="70"/>
      <c r="F62" s="72"/>
      <c r="G62" s="13" t="str">
        <f t="shared" si="2"/>
        <v/>
      </c>
      <c r="H62" s="18" t="str">
        <f t="shared" si="3"/>
        <v/>
      </c>
    </row>
    <row r="63" spans="1:8" ht="21.95" customHeight="1" x14ac:dyDescent="0.25">
      <c r="A63" s="1"/>
      <c r="C63" s="69"/>
      <c r="D63" s="70"/>
      <c r="E63" s="70"/>
      <c r="F63" s="72"/>
      <c r="G63" s="13" t="str">
        <f t="shared" si="2"/>
        <v/>
      </c>
      <c r="H63" s="18" t="str">
        <f t="shared" si="3"/>
        <v/>
      </c>
    </row>
    <row r="64" spans="1:8" ht="21.95" customHeight="1" x14ac:dyDescent="0.25">
      <c r="A64" s="1"/>
      <c r="C64" s="69"/>
      <c r="D64" s="70"/>
      <c r="E64" s="70"/>
      <c r="F64" s="72"/>
      <c r="G64" s="13" t="str">
        <f t="shared" si="2"/>
        <v/>
      </c>
      <c r="H64" s="18" t="str">
        <f t="shared" si="3"/>
        <v/>
      </c>
    </row>
    <row r="65" spans="1:8" ht="21.95" customHeight="1" x14ac:dyDescent="0.25">
      <c r="A65" s="1"/>
      <c r="C65" s="69"/>
      <c r="D65" s="70"/>
      <c r="E65" s="70"/>
      <c r="F65" s="72"/>
      <c r="G65" s="13" t="str">
        <f t="shared" si="2"/>
        <v/>
      </c>
      <c r="H65" s="18" t="str">
        <f t="shared" si="3"/>
        <v/>
      </c>
    </row>
    <row r="66" spans="1:8" ht="21.95" customHeight="1" x14ac:dyDescent="0.25">
      <c r="A66" s="1"/>
      <c r="C66" s="69"/>
      <c r="D66" s="70"/>
      <c r="E66" s="70"/>
      <c r="F66" s="72"/>
      <c r="G66" s="13" t="str">
        <f t="shared" si="2"/>
        <v/>
      </c>
      <c r="H66" s="18" t="str">
        <f t="shared" si="3"/>
        <v/>
      </c>
    </row>
    <row r="67" spans="1:8" ht="21.95" customHeight="1" x14ac:dyDescent="0.25">
      <c r="A67" s="1"/>
      <c r="C67" s="69"/>
      <c r="D67" s="70"/>
      <c r="E67" s="70"/>
      <c r="F67" s="72"/>
      <c r="G67" s="13" t="str">
        <f t="shared" si="2"/>
        <v/>
      </c>
      <c r="H67" s="18" t="str">
        <f t="shared" si="3"/>
        <v/>
      </c>
    </row>
    <row r="68" spans="1:8" ht="21.95" customHeight="1" x14ac:dyDescent="0.25">
      <c r="A68" s="1"/>
      <c r="C68" s="69"/>
      <c r="D68" s="70"/>
      <c r="E68" s="70"/>
      <c r="F68" s="72"/>
      <c r="G68" s="13" t="str">
        <f t="shared" si="2"/>
        <v/>
      </c>
      <c r="H68" s="18" t="str">
        <f t="shared" si="3"/>
        <v/>
      </c>
    </row>
    <row r="69" spans="1:8" ht="21.95" customHeight="1" x14ac:dyDescent="0.25">
      <c r="A69" s="1"/>
      <c r="C69" s="69"/>
      <c r="D69" s="70"/>
      <c r="E69" s="70"/>
      <c r="F69" s="72"/>
      <c r="G69" s="13" t="str">
        <f t="shared" si="2"/>
        <v/>
      </c>
      <c r="H69" s="18" t="str">
        <f t="shared" si="3"/>
        <v/>
      </c>
    </row>
    <row r="70" spans="1:8" ht="21.95" customHeight="1" x14ac:dyDescent="0.25">
      <c r="A70" s="1"/>
      <c r="C70" s="69"/>
      <c r="D70" s="70"/>
      <c r="E70" s="70"/>
      <c r="F70" s="72"/>
      <c r="G70" s="13" t="str">
        <f t="shared" si="2"/>
        <v/>
      </c>
      <c r="H70" s="18" t="str">
        <f t="shared" si="3"/>
        <v/>
      </c>
    </row>
    <row r="71" spans="1:8" ht="21.95" customHeight="1" x14ac:dyDescent="0.25">
      <c r="A71" s="1"/>
      <c r="C71" s="69"/>
      <c r="D71" s="70"/>
      <c r="E71" s="70"/>
      <c r="F71" s="72"/>
      <c r="G71" s="13" t="str">
        <f t="shared" si="2"/>
        <v/>
      </c>
      <c r="H71" s="18" t="str">
        <f t="shared" si="3"/>
        <v/>
      </c>
    </row>
    <row r="72" spans="1:8" ht="21.95" customHeight="1" x14ac:dyDescent="0.25">
      <c r="A72" s="1"/>
      <c r="C72" s="69"/>
      <c r="D72" s="70"/>
      <c r="E72" s="70"/>
      <c r="F72" s="72"/>
      <c r="G72" s="13" t="str">
        <f t="shared" si="2"/>
        <v/>
      </c>
      <c r="H72" s="18" t="str">
        <f t="shared" si="3"/>
        <v/>
      </c>
    </row>
    <row r="73" spans="1:8" ht="21.95" customHeight="1" x14ac:dyDescent="0.25">
      <c r="A73" s="1"/>
      <c r="C73" s="69"/>
      <c r="D73" s="70"/>
      <c r="E73" s="70"/>
      <c r="F73" s="72"/>
      <c r="G73" s="13" t="str">
        <f t="shared" ref="G73:G104" si="4">IF(D73="","",IFERROR(INDEX(lst_tipofiscal,MATCH(D73,lst_categorias,0)),"Tributável"))</f>
        <v/>
      </c>
      <c r="H73" s="18" t="str">
        <f t="shared" ref="H73:H104" si="5">IF(C73="","",MONTH(C73))</f>
        <v/>
      </c>
    </row>
    <row r="74" spans="1:8" ht="21.95" customHeight="1" x14ac:dyDescent="0.25">
      <c r="A74" s="1"/>
      <c r="C74" s="69"/>
      <c r="D74" s="70"/>
      <c r="E74" s="70"/>
      <c r="F74" s="72"/>
      <c r="G74" s="13" t="str">
        <f t="shared" si="4"/>
        <v/>
      </c>
      <c r="H74" s="18" t="str">
        <f t="shared" si="5"/>
        <v/>
      </c>
    </row>
    <row r="75" spans="1:8" x14ac:dyDescent="0.25">
      <c r="C75" s="69"/>
      <c r="D75" s="70"/>
      <c r="E75" s="70"/>
      <c r="F75" s="72"/>
      <c r="G75" s="13" t="str">
        <f t="shared" si="4"/>
        <v/>
      </c>
      <c r="H75" s="18" t="str">
        <f t="shared" si="5"/>
        <v/>
      </c>
    </row>
    <row r="76" spans="1:8" x14ac:dyDescent="0.25">
      <c r="C76" s="69"/>
      <c r="D76" s="70"/>
      <c r="E76" s="70"/>
      <c r="F76" s="72"/>
      <c r="G76" s="13" t="str">
        <f t="shared" si="4"/>
        <v/>
      </c>
      <c r="H76" s="18" t="str">
        <f t="shared" si="5"/>
        <v/>
      </c>
    </row>
    <row r="77" spans="1:8" x14ac:dyDescent="0.25">
      <c r="C77" s="69"/>
      <c r="D77" s="70"/>
      <c r="E77" s="70"/>
      <c r="F77" s="72"/>
      <c r="G77" s="13" t="str">
        <f t="shared" si="4"/>
        <v/>
      </c>
      <c r="H77" s="18" t="str">
        <f t="shared" si="5"/>
        <v/>
      </c>
    </row>
    <row r="78" spans="1:8" x14ac:dyDescent="0.25">
      <c r="C78" s="69"/>
      <c r="D78" s="70"/>
      <c r="E78" s="70"/>
      <c r="F78" s="72"/>
      <c r="G78" s="13" t="str">
        <f t="shared" si="4"/>
        <v/>
      </c>
      <c r="H78" s="18" t="str">
        <f t="shared" si="5"/>
        <v/>
      </c>
    </row>
    <row r="79" spans="1:8" x14ac:dyDescent="0.25">
      <c r="C79" s="69"/>
      <c r="D79" s="70"/>
      <c r="E79" s="70"/>
      <c r="F79" s="72"/>
      <c r="G79" s="13" t="str">
        <f t="shared" si="4"/>
        <v/>
      </c>
      <c r="H79" s="18" t="str">
        <f t="shared" si="5"/>
        <v/>
      </c>
    </row>
    <row r="80" spans="1:8" x14ac:dyDescent="0.25">
      <c r="C80" s="69"/>
      <c r="D80" s="70"/>
      <c r="E80" s="70"/>
      <c r="F80" s="72"/>
      <c r="G80" s="13" t="str">
        <f t="shared" si="4"/>
        <v/>
      </c>
      <c r="H80" s="18" t="str">
        <f t="shared" si="5"/>
        <v/>
      </c>
    </row>
    <row r="81" spans="3:8" x14ac:dyDescent="0.25">
      <c r="C81" s="69"/>
      <c r="D81" s="70"/>
      <c r="E81" s="70"/>
      <c r="F81" s="72"/>
      <c r="G81" s="13" t="str">
        <f t="shared" si="4"/>
        <v/>
      </c>
      <c r="H81" s="18" t="str">
        <f t="shared" si="5"/>
        <v/>
      </c>
    </row>
    <row r="82" spans="3:8" x14ac:dyDescent="0.25">
      <c r="C82" s="69"/>
      <c r="D82" s="70"/>
      <c r="E82" s="70"/>
      <c r="F82" s="72"/>
      <c r="G82" s="13" t="str">
        <f t="shared" si="4"/>
        <v/>
      </c>
      <c r="H82" s="18" t="str">
        <f t="shared" si="5"/>
        <v/>
      </c>
    </row>
    <row r="83" spans="3:8" x14ac:dyDescent="0.25">
      <c r="C83" s="69"/>
      <c r="D83" s="70"/>
      <c r="E83" s="70"/>
      <c r="F83" s="72"/>
      <c r="G83" s="13" t="str">
        <f t="shared" si="4"/>
        <v/>
      </c>
      <c r="H83" s="18" t="str">
        <f t="shared" si="5"/>
        <v/>
      </c>
    </row>
    <row r="84" spans="3:8" x14ac:dyDescent="0.25">
      <c r="C84" s="69"/>
      <c r="D84" s="70"/>
      <c r="E84" s="70"/>
      <c r="F84" s="72"/>
      <c r="G84" s="13" t="str">
        <f t="shared" si="4"/>
        <v/>
      </c>
      <c r="H84" s="18" t="str">
        <f t="shared" si="5"/>
        <v/>
      </c>
    </row>
    <row r="85" spans="3:8" x14ac:dyDescent="0.25">
      <c r="C85" s="69"/>
      <c r="D85" s="70"/>
      <c r="E85" s="70"/>
      <c r="F85" s="72"/>
      <c r="G85" s="13" t="str">
        <f t="shared" si="4"/>
        <v/>
      </c>
      <c r="H85" s="18" t="str">
        <f t="shared" si="5"/>
        <v/>
      </c>
    </row>
    <row r="86" spans="3:8" x14ac:dyDescent="0.25">
      <c r="C86" s="69"/>
      <c r="D86" s="70"/>
      <c r="E86" s="70"/>
      <c r="F86" s="72"/>
      <c r="G86" s="13" t="str">
        <f t="shared" si="4"/>
        <v/>
      </c>
      <c r="H86" s="18" t="str">
        <f t="shared" si="5"/>
        <v/>
      </c>
    </row>
    <row r="87" spans="3:8" x14ac:dyDescent="0.25">
      <c r="C87" s="69"/>
      <c r="D87" s="70"/>
      <c r="E87" s="70"/>
      <c r="F87" s="72"/>
      <c r="G87" s="13" t="str">
        <f t="shared" si="4"/>
        <v/>
      </c>
      <c r="H87" s="18" t="str">
        <f t="shared" si="5"/>
        <v/>
      </c>
    </row>
    <row r="88" spans="3:8" x14ac:dyDescent="0.25">
      <c r="C88" s="69"/>
      <c r="D88" s="70"/>
      <c r="E88" s="70"/>
      <c r="F88" s="72"/>
      <c r="G88" s="13" t="str">
        <f t="shared" si="4"/>
        <v/>
      </c>
      <c r="H88" s="18" t="str">
        <f t="shared" si="5"/>
        <v/>
      </c>
    </row>
    <row r="89" spans="3:8" x14ac:dyDescent="0.25">
      <c r="C89" s="69"/>
      <c r="D89" s="70"/>
      <c r="E89" s="70"/>
      <c r="F89" s="72"/>
      <c r="G89" s="13" t="str">
        <f t="shared" si="4"/>
        <v/>
      </c>
      <c r="H89" s="18" t="str">
        <f t="shared" si="5"/>
        <v/>
      </c>
    </row>
    <row r="90" spans="3:8" x14ac:dyDescent="0.25">
      <c r="C90" s="69"/>
      <c r="D90" s="70"/>
      <c r="E90" s="70"/>
      <c r="F90" s="72"/>
      <c r="G90" s="13" t="str">
        <f t="shared" si="4"/>
        <v/>
      </c>
      <c r="H90" s="18" t="str">
        <f t="shared" si="5"/>
        <v/>
      </c>
    </row>
    <row r="91" spans="3:8" x14ac:dyDescent="0.25">
      <c r="C91" s="69"/>
      <c r="D91" s="70"/>
      <c r="E91" s="70"/>
      <c r="F91" s="72"/>
      <c r="G91" s="13" t="str">
        <f t="shared" si="4"/>
        <v/>
      </c>
      <c r="H91" s="18" t="str">
        <f t="shared" si="5"/>
        <v/>
      </c>
    </row>
    <row r="92" spans="3:8" x14ac:dyDescent="0.25">
      <c r="C92" s="69"/>
      <c r="D92" s="70"/>
      <c r="E92" s="70"/>
      <c r="F92" s="72"/>
      <c r="G92" s="13" t="str">
        <f t="shared" si="4"/>
        <v/>
      </c>
      <c r="H92" s="18" t="str">
        <f t="shared" si="5"/>
        <v/>
      </c>
    </row>
    <row r="93" spans="3:8" x14ac:dyDescent="0.25">
      <c r="C93" s="69"/>
      <c r="D93" s="70"/>
      <c r="E93" s="70"/>
      <c r="F93" s="72"/>
      <c r="G93" s="13" t="str">
        <f t="shared" si="4"/>
        <v/>
      </c>
      <c r="H93" s="18" t="str">
        <f t="shared" si="5"/>
        <v/>
      </c>
    </row>
    <row r="94" spans="3:8" x14ac:dyDescent="0.25">
      <c r="C94" s="69"/>
      <c r="D94" s="70"/>
      <c r="E94" s="70"/>
      <c r="F94" s="72"/>
      <c r="G94" s="13" t="str">
        <f t="shared" si="4"/>
        <v/>
      </c>
      <c r="H94" s="18" t="str">
        <f t="shared" si="5"/>
        <v/>
      </c>
    </row>
    <row r="95" spans="3:8" x14ac:dyDescent="0.25">
      <c r="C95" s="69"/>
      <c r="D95" s="70"/>
      <c r="E95" s="70"/>
      <c r="F95" s="72"/>
      <c r="G95" s="13" t="str">
        <f t="shared" si="4"/>
        <v/>
      </c>
      <c r="H95" s="18" t="str">
        <f t="shared" si="5"/>
        <v/>
      </c>
    </row>
    <row r="96" spans="3:8" x14ac:dyDescent="0.25">
      <c r="C96" s="69"/>
      <c r="D96" s="70"/>
      <c r="E96" s="70"/>
      <c r="F96" s="72"/>
      <c r="G96" s="13" t="str">
        <f t="shared" si="4"/>
        <v/>
      </c>
      <c r="H96" s="18" t="str">
        <f t="shared" si="5"/>
        <v/>
      </c>
    </row>
    <row r="97" spans="3:8" x14ac:dyDescent="0.25">
      <c r="C97" s="69"/>
      <c r="D97" s="70"/>
      <c r="E97" s="70"/>
      <c r="F97" s="72"/>
      <c r="G97" s="13" t="str">
        <f t="shared" si="4"/>
        <v/>
      </c>
      <c r="H97" s="18" t="str">
        <f t="shared" si="5"/>
        <v/>
      </c>
    </row>
    <row r="98" spans="3:8" x14ac:dyDescent="0.25">
      <c r="C98" s="69"/>
      <c r="D98" s="70"/>
      <c r="E98" s="70"/>
      <c r="F98" s="72"/>
      <c r="G98" s="13" t="str">
        <f t="shared" si="4"/>
        <v/>
      </c>
      <c r="H98" s="18" t="str">
        <f t="shared" si="5"/>
        <v/>
      </c>
    </row>
    <row r="99" spans="3:8" x14ac:dyDescent="0.25">
      <c r="C99" s="69"/>
      <c r="D99" s="70"/>
      <c r="E99" s="70"/>
      <c r="F99" s="72"/>
      <c r="G99" s="13" t="str">
        <f t="shared" si="4"/>
        <v/>
      </c>
      <c r="H99" s="18" t="str">
        <f t="shared" si="5"/>
        <v/>
      </c>
    </row>
    <row r="100" spans="3:8" x14ac:dyDescent="0.25">
      <c r="C100" s="69"/>
      <c r="D100" s="70"/>
      <c r="E100" s="70"/>
      <c r="F100" s="72"/>
      <c r="G100" s="13" t="str">
        <f t="shared" si="4"/>
        <v/>
      </c>
      <c r="H100" s="18" t="str">
        <f t="shared" si="5"/>
        <v/>
      </c>
    </row>
    <row r="101" spans="3:8" x14ac:dyDescent="0.25">
      <c r="C101" s="69"/>
      <c r="D101" s="70"/>
      <c r="E101" s="70"/>
      <c r="F101" s="72"/>
      <c r="G101" s="13" t="str">
        <f t="shared" si="4"/>
        <v/>
      </c>
      <c r="H101" s="18" t="str">
        <f t="shared" si="5"/>
        <v/>
      </c>
    </row>
    <row r="102" spans="3:8" x14ac:dyDescent="0.25">
      <c r="C102" s="69"/>
      <c r="D102" s="70"/>
      <c r="E102" s="70"/>
      <c r="F102" s="72"/>
      <c r="G102" s="13" t="str">
        <f t="shared" si="4"/>
        <v/>
      </c>
      <c r="H102" s="18" t="str">
        <f t="shared" si="5"/>
        <v/>
      </c>
    </row>
    <row r="103" spans="3:8" x14ac:dyDescent="0.25">
      <c r="C103" s="69"/>
      <c r="D103" s="70"/>
      <c r="E103" s="70"/>
      <c r="F103" s="72"/>
      <c r="G103" s="13" t="str">
        <f t="shared" si="4"/>
        <v/>
      </c>
      <c r="H103" s="18" t="str">
        <f t="shared" si="5"/>
        <v/>
      </c>
    </row>
    <row r="104" spans="3:8" x14ac:dyDescent="0.25">
      <c r="C104" s="69"/>
      <c r="D104" s="70"/>
      <c r="E104" s="70"/>
      <c r="F104" s="72"/>
      <c r="G104" s="13" t="str">
        <f t="shared" si="4"/>
        <v/>
      </c>
      <c r="H104" s="18" t="str">
        <f t="shared" si="5"/>
        <v/>
      </c>
    </row>
    <row r="105" spans="3:8" x14ac:dyDescent="0.25">
      <c r="C105" s="69"/>
      <c r="D105" s="70"/>
      <c r="E105" s="70"/>
      <c r="F105" s="72"/>
      <c r="G105" s="13" t="str">
        <f t="shared" ref="G105:G136" si="6">IF(D105="","",IFERROR(INDEX(lst_tipofiscal,MATCH(D105,lst_categorias,0)),"Tributável"))</f>
        <v/>
      </c>
      <c r="H105" s="18" t="str">
        <f t="shared" ref="H105:H136" si="7">IF(C105="","",MONTH(C105))</f>
        <v/>
      </c>
    </row>
    <row r="106" spans="3:8" x14ac:dyDescent="0.25">
      <c r="C106" s="69"/>
      <c r="D106" s="70"/>
      <c r="E106" s="70"/>
      <c r="F106" s="72"/>
      <c r="G106" s="13" t="str">
        <f t="shared" si="6"/>
        <v/>
      </c>
      <c r="H106" s="18" t="str">
        <f t="shared" si="7"/>
        <v/>
      </c>
    </row>
    <row r="107" spans="3:8" x14ac:dyDescent="0.25">
      <c r="C107" s="69"/>
      <c r="D107" s="70"/>
      <c r="E107" s="70"/>
      <c r="F107" s="72"/>
      <c r="G107" s="13" t="str">
        <f t="shared" si="6"/>
        <v/>
      </c>
      <c r="H107" s="18" t="str">
        <f t="shared" si="7"/>
        <v/>
      </c>
    </row>
    <row r="108" spans="3:8" x14ac:dyDescent="0.25">
      <c r="C108" s="69"/>
      <c r="D108" s="70"/>
      <c r="E108" s="70"/>
      <c r="F108" s="72"/>
      <c r="G108" s="13" t="str">
        <f t="shared" si="6"/>
        <v/>
      </c>
      <c r="H108" s="18" t="str">
        <f t="shared" si="7"/>
        <v/>
      </c>
    </row>
    <row r="109" spans="3:8" x14ac:dyDescent="0.25">
      <c r="C109" s="69"/>
      <c r="D109" s="70"/>
      <c r="E109" s="70"/>
      <c r="F109" s="72"/>
      <c r="G109" s="13" t="str">
        <f t="shared" si="6"/>
        <v/>
      </c>
      <c r="H109" s="18" t="str">
        <f t="shared" si="7"/>
        <v/>
      </c>
    </row>
    <row r="110" spans="3:8" x14ac:dyDescent="0.25">
      <c r="C110" s="69"/>
      <c r="D110" s="70"/>
      <c r="E110" s="70"/>
      <c r="F110" s="72"/>
      <c r="G110" s="13" t="str">
        <f t="shared" si="6"/>
        <v/>
      </c>
      <c r="H110" s="18" t="str">
        <f t="shared" si="7"/>
        <v/>
      </c>
    </row>
    <row r="111" spans="3:8" x14ac:dyDescent="0.25">
      <c r="C111" s="69"/>
      <c r="D111" s="70"/>
      <c r="E111" s="70"/>
      <c r="F111" s="72"/>
      <c r="G111" s="13" t="str">
        <f t="shared" si="6"/>
        <v/>
      </c>
      <c r="H111" s="18" t="str">
        <f t="shared" si="7"/>
        <v/>
      </c>
    </row>
    <row r="112" spans="3:8" x14ac:dyDescent="0.25">
      <c r="C112" s="69"/>
      <c r="D112" s="70"/>
      <c r="E112" s="70"/>
      <c r="F112" s="72"/>
      <c r="G112" s="13" t="str">
        <f t="shared" si="6"/>
        <v/>
      </c>
      <c r="H112" s="18" t="str">
        <f t="shared" si="7"/>
        <v/>
      </c>
    </row>
    <row r="113" spans="3:8" x14ac:dyDescent="0.25">
      <c r="C113" s="69"/>
      <c r="D113" s="70"/>
      <c r="E113" s="70"/>
      <c r="F113" s="72"/>
      <c r="G113" s="13" t="str">
        <f t="shared" si="6"/>
        <v/>
      </c>
      <c r="H113" s="18" t="str">
        <f t="shared" si="7"/>
        <v/>
      </c>
    </row>
    <row r="114" spans="3:8" x14ac:dyDescent="0.25">
      <c r="C114" s="69"/>
      <c r="D114" s="70"/>
      <c r="E114" s="70"/>
      <c r="F114" s="72"/>
      <c r="G114" s="13" t="str">
        <f t="shared" si="6"/>
        <v/>
      </c>
      <c r="H114" s="18" t="str">
        <f t="shared" si="7"/>
        <v/>
      </c>
    </row>
    <row r="115" spans="3:8" x14ac:dyDescent="0.25">
      <c r="C115" s="69"/>
      <c r="D115" s="70"/>
      <c r="E115" s="70"/>
      <c r="F115" s="72"/>
      <c r="G115" s="13" t="str">
        <f t="shared" si="6"/>
        <v/>
      </c>
      <c r="H115" s="18" t="str">
        <f t="shared" si="7"/>
        <v/>
      </c>
    </row>
    <row r="116" spans="3:8" x14ac:dyDescent="0.25">
      <c r="C116" s="69"/>
      <c r="D116" s="70"/>
      <c r="E116" s="70"/>
      <c r="F116" s="72"/>
      <c r="G116" s="13" t="str">
        <f t="shared" si="6"/>
        <v/>
      </c>
      <c r="H116" s="18" t="str">
        <f t="shared" si="7"/>
        <v/>
      </c>
    </row>
    <row r="117" spans="3:8" x14ac:dyDescent="0.25">
      <c r="C117" s="69"/>
      <c r="D117" s="70"/>
      <c r="E117" s="70"/>
      <c r="F117" s="72"/>
      <c r="G117" s="13" t="str">
        <f t="shared" si="6"/>
        <v/>
      </c>
      <c r="H117" s="18" t="str">
        <f t="shared" si="7"/>
        <v/>
      </c>
    </row>
    <row r="118" spans="3:8" x14ac:dyDescent="0.25">
      <c r="C118" s="69"/>
      <c r="D118" s="70"/>
      <c r="E118" s="70"/>
      <c r="F118" s="72"/>
      <c r="G118" s="13" t="str">
        <f t="shared" si="6"/>
        <v/>
      </c>
      <c r="H118" s="18" t="str">
        <f t="shared" si="7"/>
        <v/>
      </c>
    </row>
    <row r="119" spans="3:8" x14ac:dyDescent="0.25">
      <c r="C119" s="69"/>
      <c r="D119" s="70"/>
      <c r="E119" s="70"/>
      <c r="F119" s="72"/>
      <c r="G119" s="13" t="str">
        <f t="shared" si="6"/>
        <v/>
      </c>
      <c r="H119" s="18" t="str">
        <f t="shared" si="7"/>
        <v/>
      </c>
    </row>
    <row r="120" spans="3:8" x14ac:dyDescent="0.25">
      <c r="C120" s="69"/>
      <c r="D120" s="70"/>
      <c r="E120" s="70"/>
      <c r="F120" s="72"/>
      <c r="G120" s="13" t="str">
        <f t="shared" si="6"/>
        <v/>
      </c>
      <c r="H120" s="18" t="str">
        <f t="shared" si="7"/>
        <v/>
      </c>
    </row>
    <row r="121" spans="3:8" x14ac:dyDescent="0.25">
      <c r="C121" s="69"/>
      <c r="D121" s="70"/>
      <c r="E121" s="70"/>
      <c r="F121" s="72"/>
      <c r="G121" s="13" t="str">
        <f t="shared" si="6"/>
        <v/>
      </c>
      <c r="H121" s="18" t="str">
        <f t="shared" si="7"/>
        <v/>
      </c>
    </row>
    <row r="122" spans="3:8" x14ac:dyDescent="0.25">
      <c r="C122" s="69"/>
      <c r="D122" s="70"/>
      <c r="E122" s="70"/>
      <c r="F122" s="72"/>
      <c r="G122" s="13" t="str">
        <f t="shared" si="6"/>
        <v/>
      </c>
      <c r="H122" s="18" t="str">
        <f t="shared" si="7"/>
        <v/>
      </c>
    </row>
    <row r="123" spans="3:8" x14ac:dyDescent="0.25">
      <c r="C123" s="69"/>
      <c r="D123" s="70"/>
      <c r="E123" s="70"/>
      <c r="F123" s="72"/>
      <c r="G123" s="13" t="str">
        <f t="shared" si="6"/>
        <v/>
      </c>
      <c r="H123" s="18" t="str">
        <f t="shared" si="7"/>
        <v/>
      </c>
    </row>
    <row r="124" spans="3:8" x14ac:dyDescent="0.25">
      <c r="C124" s="69"/>
      <c r="D124" s="70"/>
      <c r="E124" s="70"/>
      <c r="F124" s="72"/>
      <c r="G124" s="13" t="str">
        <f t="shared" si="6"/>
        <v/>
      </c>
      <c r="H124" s="18" t="str">
        <f t="shared" si="7"/>
        <v/>
      </c>
    </row>
    <row r="125" spans="3:8" x14ac:dyDescent="0.25">
      <c r="C125" s="69"/>
      <c r="D125" s="70"/>
      <c r="E125" s="70"/>
      <c r="F125" s="72"/>
      <c r="G125" s="13" t="str">
        <f t="shared" si="6"/>
        <v/>
      </c>
      <c r="H125" s="18" t="str">
        <f t="shared" si="7"/>
        <v/>
      </c>
    </row>
    <row r="126" spans="3:8" x14ac:dyDescent="0.25">
      <c r="C126" s="69"/>
      <c r="D126" s="70"/>
      <c r="E126" s="70"/>
      <c r="F126" s="72"/>
      <c r="G126" s="13" t="str">
        <f t="shared" si="6"/>
        <v/>
      </c>
      <c r="H126" s="18" t="str">
        <f t="shared" si="7"/>
        <v/>
      </c>
    </row>
    <row r="127" spans="3:8" x14ac:dyDescent="0.25">
      <c r="C127" s="69"/>
      <c r="D127" s="70"/>
      <c r="E127" s="70"/>
      <c r="F127" s="72"/>
      <c r="G127" s="13" t="str">
        <f t="shared" si="6"/>
        <v/>
      </c>
      <c r="H127" s="18" t="str">
        <f t="shared" si="7"/>
        <v/>
      </c>
    </row>
    <row r="128" spans="3:8" x14ac:dyDescent="0.25">
      <c r="C128" s="69"/>
      <c r="D128" s="70"/>
      <c r="E128" s="70"/>
      <c r="F128" s="72"/>
      <c r="G128" s="13" t="str">
        <f t="shared" si="6"/>
        <v/>
      </c>
      <c r="H128" s="18" t="str">
        <f t="shared" si="7"/>
        <v/>
      </c>
    </row>
    <row r="129" spans="3:8" x14ac:dyDescent="0.25">
      <c r="C129" s="69"/>
      <c r="D129" s="70"/>
      <c r="E129" s="70"/>
      <c r="F129" s="72"/>
      <c r="G129" s="13" t="str">
        <f t="shared" si="6"/>
        <v/>
      </c>
      <c r="H129" s="18" t="str">
        <f t="shared" si="7"/>
        <v/>
      </c>
    </row>
    <row r="130" spans="3:8" x14ac:dyDescent="0.25">
      <c r="C130" s="69"/>
      <c r="D130" s="70"/>
      <c r="E130" s="70"/>
      <c r="F130" s="72"/>
      <c r="G130" s="13" t="str">
        <f t="shared" si="6"/>
        <v/>
      </c>
      <c r="H130" s="18" t="str">
        <f t="shared" si="7"/>
        <v/>
      </c>
    </row>
    <row r="131" spans="3:8" x14ac:dyDescent="0.25">
      <c r="C131" s="69"/>
      <c r="D131" s="70"/>
      <c r="E131" s="70"/>
      <c r="F131" s="72"/>
      <c r="G131" s="13" t="str">
        <f t="shared" si="6"/>
        <v/>
      </c>
      <c r="H131" s="18" t="str">
        <f t="shared" si="7"/>
        <v/>
      </c>
    </row>
    <row r="132" spans="3:8" x14ac:dyDescent="0.25">
      <c r="C132" s="69"/>
      <c r="D132" s="70"/>
      <c r="E132" s="70"/>
      <c r="F132" s="72"/>
      <c r="G132" s="13" t="str">
        <f t="shared" si="6"/>
        <v/>
      </c>
      <c r="H132" s="18" t="str">
        <f t="shared" si="7"/>
        <v/>
      </c>
    </row>
    <row r="133" spans="3:8" x14ac:dyDescent="0.25">
      <c r="C133" s="69"/>
      <c r="D133" s="70"/>
      <c r="E133" s="70"/>
      <c r="F133" s="72"/>
      <c r="G133" s="13" t="str">
        <f t="shared" si="6"/>
        <v/>
      </c>
      <c r="H133" s="18" t="str">
        <f t="shared" si="7"/>
        <v/>
      </c>
    </row>
    <row r="134" spans="3:8" x14ac:dyDescent="0.25">
      <c r="C134" s="69"/>
      <c r="D134" s="70"/>
      <c r="E134" s="70"/>
      <c r="F134" s="72"/>
      <c r="G134" s="13" t="str">
        <f t="shared" si="6"/>
        <v/>
      </c>
      <c r="H134" s="18" t="str">
        <f t="shared" si="7"/>
        <v/>
      </c>
    </row>
    <row r="135" spans="3:8" x14ac:dyDescent="0.25">
      <c r="C135" s="69"/>
      <c r="D135" s="70"/>
      <c r="E135" s="70"/>
      <c r="F135" s="72"/>
      <c r="G135" s="13" t="str">
        <f t="shared" si="6"/>
        <v/>
      </c>
      <c r="H135" s="18" t="str">
        <f t="shared" si="7"/>
        <v/>
      </c>
    </row>
    <row r="136" spans="3:8" x14ac:dyDescent="0.25">
      <c r="C136" s="69"/>
      <c r="D136" s="70"/>
      <c r="E136" s="70"/>
      <c r="F136" s="72"/>
      <c r="G136" s="13" t="str">
        <f t="shared" si="6"/>
        <v/>
      </c>
      <c r="H136" s="18" t="str">
        <f t="shared" si="7"/>
        <v/>
      </c>
    </row>
    <row r="137" spans="3:8" x14ac:dyDescent="0.25">
      <c r="C137" s="69"/>
      <c r="D137" s="70"/>
      <c r="E137" s="70"/>
      <c r="F137" s="72"/>
      <c r="G137" s="13" t="str">
        <f t="shared" ref="G137:G168" si="8">IF(D137="","",IFERROR(INDEX(lst_tipofiscal,MATCH(D137,lst_categorias,0)),"Tributável"))</f>
        <v/>
      </c>
      <c r="H137" s="18" t="str">
        <f t="shared" ref="H137:H168" si="9">IF(C137="","",MONTH(C137))</f>
        <v/>
      </c>
    </row>
    <row r="138" spans="3:8" x14ac:dyDescent="0.25">
      <c r="C138" s="69"/>
      <c r="D138" s="70"/>
      <c r="E138" s="70"/>
      <c r="F138" s="72"/>
      <c r="G138" s="13" t="str">
        <f t="shared" si="8"/>
        <v/>
      </c>
      <c r="H138" s="18" t="str">
        <f t="shared" si="9"/>
        <v/>
      </c>
    </row>
    <row r="139" spans="3:8" x14ac:dyDescent="0.25">
      <c r="C139" s="69"/>
      <c r="D139" s="70"/>
      <c r="E139" s="70"/>
      <c r="F139" s="72"/>
      <c r="G139" s="13" t="str">
        <f t="shared" si="8"/>
        <v/>
      </c>
      <c r="H139" s="18" t="str">
        <f t="shared" si="9"/>
        <v/>
      </c>
    </row>
    <row r="140" spans="3:8" x14ac:dyDescent="0.25">
      <c r="C140" s="69"/>
      <c r="D140" s="70"/>
      <c r="E140" s="70"/>
      <c r="F140" s="72"/>
      <c r="G140" s="13" t="str">
        <f t="shared" si="8"/>
        <v/>
      </c>
      <c r="H140" s="18" t="str">
        <f t="shared" si="9"/>
        <v/>
      </c>
    </row>
    <row r="141" spans="3:8" x14ac:dyDescent="0.25">
      <c r="C141" s="69"/>
      <c r="D141" s="70"/>
      <c r="E141" s="70"/>
      <c r="F141" s="72"/>
      <c r="G141" s="13" t="str">
        <f t="shared" si="8"/>
        <v/>
      </c>
      <c r="H141" s="18" t="str">
        <f t="shared" si="9"/>
        <v/>
      </c>
    </row>
    <row r="142" spans="3:8" x14ac:dyDescent="0.25">
      <c r="C142" s="69"/>
      <c r="D142" s="70"/>
      <c r="E142" s="70"/>
      <c r="F142" s="72"/>
      <c r="G142" s="13" t="str">
        <f t="shared" si="8"/>
        <v/>
      </c>
      <c r="H142" s="18" t="str">
        <f t="shared" si="9"/>
        <v/>
      </c>
    </row>
    <row r="143" spans="3:8" x14ac:dyDescent="0.25">
      <c r="C143" s="69"/>
      <c r="D143" s="70"/>
      <c r="E143" s="70"/>
      <c r="F143" s="72"/>
      <c r="G143" s="13" t="str">
        <f t="shared" si="8"/>
        <v/>
      </c>
      <c r="H143" s="18" t="str">
        <f t="shared" si="9"/>
        <v/>
      </c>
    </row>
    <row r="144" spans="3:8" x14ac:dyDescent="0.25">
      <c r="C144" s="69"/>
      <c r="D144" s="70"/>
      <c r="E144" s="70"/>
      <c r="F144" s="72"/>
      <c r="G144" s="13" t="str">
        <f t="shared" si="8"/>
        <v/>
      </c>
      <c r="H144" s="18" t="str">
        <f t="shared" si="9"/>
        <v/>
      </c>
    </row>
    <row r="145" spans="3:8" x14ac:dyDescent="0.25">
      <c r="C145" s="69"/>
      <c r="D145" s="70"/>
      <c r="E145" s="70"/>
      <c r="F145" s="72"/>
      <c r="G145" s="13" t="str">
        <f t="shared" si="8"/>
        <v/>
      </c>
      <c r="H145" s="18" t="str">
        <f t="shared" si="9"/>
        <v/>
      </c>
    </row>
    <row r="146" spans="3:8" x14ac:dyDescent="0.25">
      <c r="C146" s="69"/>
      <c r="D146" s="70"/>
      <c r="E146" s="70"/>
      <c r="F146" s="72"/>
      <c r="G146" s="13" t="str">
        <f t="shared" si="8"/>
        <v/>
      </c>
      <c r="H146" s="18" t="str">
        <f t="shared" si="9"/>
        <v/>
      </c>
    </row>
    <row r="147" spans="3:8" x14ac:dyDescent="0.25">
      <c r="C147" s="69"/>
      <c r="D147" s="70"/>
      <c r="E147" s="70"/>
      <c r="F147" s="72"/>
      <c r="G147" s="13" t="str">
        <f t="shared" si="8"/>
        <v/>
      </c>
      <c r="H147" s="18" t="str">
        <f t="shared" si="9"/>
        <v/>
      </c>
    </row>
    <row r="148" spans="3:8" x14ac:dyDescent="0.25">
      <c r="C148" s="69"/>
      <c r="D148" s="70"/>
      <c r="E148" s="70"/>
      <c r="F148" s="72"/>
      <c r="G148" s="13" t="str">
        <f t="shared" si="8"/>
        <v/>
      </c>
      <c r="H148" s="18" t="str">
        <f t="shared" si="9"/>
        <v/>
      </c>
    </row>
    <row r="149" spans="3:8" x14ac:dyDescent="0.25">
      <c r="C149" s="69"/>
      <c r="D149" s="70"/>
      <c r="E149" s="70"/>
      <c r="F149" s="72"/>
      <c r="G149" s="13" t="str">
        <f t="shared" si="8"/>
        <v/>
      </c>
      <c r="H149" s="18" t="str">
        <f t="shared" si="9"/>
        <v/>
      </c>
    </row>
    <row r="150" spans="3:8" x14ac:dyDescent="0.25">
      <c r="C150" s="69"/>
      <c r="D150" s="70"/>
      <c r="E150" s="70"/>
      <c r="F150" s="72"/>
      <c r="G150" s="13" t="str">
        <f t="shared" si="8"/>
        <v/>
      </c>
      <c r="H150" s="18" t="str">
        <f t="shared" si="9"/>
        <v/>
      </c>
    </row>
    <row r="151" spans="3:8" x14ac:dyDescent="0.25">
      <c r="C151" s="69"/>
      <c r="D151" s="70"/>
      <c r="E151" s="70"/>
      <c r="F151" s="72"/>
      <c r="G151" s="13" t="str">
        <f t="shared" si="8"/>
        <v/>
      </c>
      <c r="H151" s="18" t="str">
        <f t="shared" si="9"/>
        <v/>
      </c>
    </row>
    <row r="152" spans="3:8" x14ac:dyDescent="0.25">
      <c r="C152" s="69"/>
      <c r="D152" s="70"/>
      <c r="E152" s="70"/>
      <c r="F152" s="72"/>
      <c r="G152" s="13" t="str">
        <f t="shared" si="8"/>
        <v/>
      </c>
      <c r="H152" s="18" t="str">
        <f t="shared" si="9"/>
        <v/>
      </c>
    </row>
    <row r="153" spans="3:8" x14ac:dyDescent="0.25">
      <c r="C153" s="69"/>
      <c r="D153" s="70"/>
      <c r="E153" s="70"/>
      <c r="F153" s="72"/>
      <c r="G153" s="13" t="str">
        <f t="shared" si="8"/>
        <v/>
      </c>
      <c r="H153" s="18" t="str">
        <f t="shared" si="9"/>
        <v/>
      </c>
    </row>
    <row r="154" spans="3:8" x14ac:dyDescent="0.25">
      <c r="C154" s="69"/>
      <c r="D154" s="70"/>
      <c r="E154" s="70"/>
      <c r="F154" s="72"/>
      <c r="G154" s="13" t="str">
        <f t="shared" si="8"/>
        <v/>
      </c>
      <c r="H154" s="18" t="str">
        <f t="shared" si="9"/>
        <v/>
      </c>
    </row>
    <row r="155" spans="3:8" x14ac:dyDescent="0.25">
      <c r="C155" s="69"/>
      <c r="D155" s="70"/>
      <c r="E155" s="70"/>
      <c r="F155" s="72"/>
      <c r="G155" s="13" t="str">
        <f t="shared" si="8"/>
        <v/>
      </c>
      <c r="H155" s="18" t="str">
        <f t="shared" si="9"/>
        <v/>
      </c>
    </row>
    <row r="156" spans="3:8" x14ac:dyDescent="0.25">
      <c r="C156" s="69"/>
      <c r="D156" s="70"/>
      <c r="E156" s="70"/>
      <c r="F156" s="72"/>
      <c r="G156" s="13" t="str">
        <f t="shared" si="8"/>
        <v/>
      </c>
      <c r="H156" s="18" t="str">
        <f t="shared" si="9"/>
        <v/>
      </c>
    </row>
    <row r="157" spans="3:8" x14ac:dyDescent="0.25">
      <c r="C157" s="69"/>
      <c r="D157" s="70"/>
      <c r="E157" s="70"/>
      <c r="F157" s="72"/>
      <c r="G157" s="13" t="str">
        <f t="shared" si="8"/>
        <v/>
      </c>
      <c r="H157" s="18" t="str">
        <f t="shared" si="9"/>
        <v/>
      </c>
    </row>
    <row r="158" spans="3:8" x14ac:dyDescent="0.25">
      <c r="C158" s="69"/>
      <c r="D158" s="70"/>
      <c r="E158" s="70"/>
      <c r="F158" s="72"/>
      <c r="G158" s="13" t="str">
        <f t="shared" si="8"/>
        <v/>
      </c>
      <c r="H158" s="18" t="str">
        <f t="shared" si="9"/>
        <v/>
      </c>
    </row>
    <row r="159" spans="3:8" x14ac:dyDescent="0.25">
      <c r="C159" s="69"/>
      <c r="D159" s="70"/>
      <c r="E159" s="70"/>
      <c r="F159" s="72"/>
      <c r="G159" s="13" t="str">
        <f t="shared" si="8"/>
        <v/>
      </c>
      <c r="H159" s="18" t="str">
        <f t="shared" si="9"/>
        <v/>
      </c>
    </row>
    <row r="160" spans="3:8" x14ac:dyDescent="0.25">
      <c r="C160" s="69"/>
      <c r="D160" s="70"/>
      <c r="E160" s="70"/>
      <c r="F160" s="72"/>
      <c r="G160" s="13" t="str">
        <f t="shared" si="8"/>
        <v/>
      </c>
      <c r="H160" s="18" t="str">
        <f t="shared" si="9"/>
        <v/>
      </c>
    </row>
    <row r="161" spans="3:8" x14ac:dyDescent="0.25">
      <c r="C161" s="69"/>
      <c r="D161" s="70"/>
      <c r="E161" s="70"/>
      <c r="F161" s="72"/>
      <c r="G161" s="13" t="str">
        <f t="shared" si="8"/>
        <v/>
      </c>
      <c r="H161" s="18" t="str">
        <f t="shared" si="9"/>
        <v/>
      </c>
    </row>
    <row r="162" spans="3:8" x14ac:dyDescent="0.25">
      <c r="C162" s="69"/>
      <c r="D162" s="70"/>
      <c r="E162" s="70"/>
      <c r="F162" s="72"/>
      <c r="G162" s="13" t="str">
        <f t="shared" si="8"/>
        <v/>
      </c>
      <c r="H162" s="18" t="str">
        <f t="shared" si="9"/>
        <v/>
      </c>
    </row>
    <row r="163" spans="3:8" x14ac:dyDescent="0.25">
      <c r="C163" s="69"/>
      <c r="D163" s="70"/>
      <c r="E163" s="70"/>
      <c r="F163" s="72"/>
      <c r="G163" s="13" t="str">
        <f t="shared" si="8"/>
        <v/>
      </c>
      <c r="H163" s="18" t="str">
        <f t="shared" si="9"/>
        <v/>
      </c>
    </row>
    <row r="164" spans="3:8" x14ac:dyDescent="0.25">
      <c r="C164" s="69"/>
      <c r="D164" s="70"/>
      <c r="E164" s="70"/>
      <c r="F164" s="72"/>
      <c r="G164" s="13" t="str">
        <f t="shared" si="8"/>
        <v/>
      </c>
      <c r="H164" s="18" t="str">
        <f t="shared" si="9"/>
        <v/>
      </c>
    </row>
    <row r="165" spans="3:8" x14ac:dyDescent="0.25">
      <c r="C165" s="69"/>
      <c r="D165" s="70"/>
      <c r="E165" s="70"/>
      <c r="F165" s="72"/>
      <c r="G165" s="13" t="str">
        <f t="shared" si="8"/>
        <v/>
      </c>
      <c r="H165" s="18" t="str">
        <f t="shared" si="9"/>
        <v/>
      </c>
    </row>
    <row r="166" spans="3:8" x14ac:dyDescent="0.25">
      <c r="C166" s="69"/>
      <c r="D166" s="70"/>
      <c r="E166" s="70"/>
      <c r="F166" s="72"/>
      <c r="G166" s="13" t="str">
        <f t="shared" si="8"/>
        <v/>
      </c>
      <c r="H166" s="18" t="str">
        <f t="shared" si="9"/>
        <v/>
      </c>
    </row>
    <row r="167" spans="3:8" x14ac:dyDescent="0.25">
      <c r="C167" s="69"/>
      <c r="D167" s="70"/>
      <c r="E167" s="70"/>
      <c r="F167" s="72"/>
      <c r="G167" s="13" t="str">
        <f t="shared" si="8"/>
        <v/>
      </c>
      <c r="H167" s="18" t="str">
        <f t="shared" si="9"/>
        <v/>
      </c>
    </row>
    <row r="168" spans="3:8" x14ac:dyDescent="0.25">
      <c r="C168" s="69"/>
      <c r="D168" s="70"/>
      <c r="E168" s="70"/>
      <c r="F168" s="72"/>
      <c r="G168" s="13" t="str">
        <f t="shared" si="8"/>
        <v/>
      </c>
      <c r="H168" s="18" t="str">
        <f t="shared" si="9"/>
        <v/>
      </c>
    </row>
    <row r="169" spans="3:8" x14ac:dyDescent="0.25">
      <c r="C169" s="69"/>
      <c r="D169" s="70"/>
      <c r="E169" s="70"/>
      <c r="F169" s="72"/>
      <c r="G169" s="13" t="str">
        <f t="shared" ref="G169:G200" si="10">IF(D169="","",IFERROR(INDEX(lst_tipofiscal,MATCH(D169,lst_categorias,0)),"Tributável"))</f>
        <v/>
      </c>
      <c r="H169" s="18" t="str">
        <f t="shared" ref="H169:H200" si="11">IF(C169="","",MONTH(C169))</f>
        <v/>
      </c>
    </row>
    <row r="170" spans="3:8" x14ac:dyDescent="0.25">
      <c r="C170" s="69"/>
      <c r="D170" s="70"/>
      <c r="E170" s="70"/>
      <c r="F170" s="72"/>
      <c r="G170" s="13" t="str">
        <f t="shared" si="10"/>
        <v/>
      </c>
      <c r="H170" s="18" t="str">
        <f t="shared" si="11"/>
        <v/>
      </c>
    </row>
    <row r="171" spans="3:8" x14ac:dyDescent="0.25">
      <c r="C171" s="69"/>
      <c r="D171" s="70"/>
      <c r="E171" s="70"/>
      <c r="F171" s="72"/>
      <c r="G171" s="13" t="str">
        <f t="shared" si="10"/>
        <v/>
      </c>
      <c r="H171" s="18" t="str">
        <f t="shared" si="11"/>
        <v/>
      </c>
    </row>
    <row r="172" spans="3:8" x14ac:dyDescent="0.25">
      <c r="C172" s="69"/>
      <c r="D172" s="70"/>
      <c r="E172" s="70"/>
      <c r="F172" s="72"/>
      <c r="G172" s="13" t="str">
        <f t="shared" si="10"/>
        <v/>
      </c>
      <c r="H172" s="18" t="str">
        <f t="shared" si="11"/>
        <v/>
      </c>
    </row>
    <row r="173" spans="3:8" x14ac:dyDescent="0.25">
      <c r="C173" s="69"/>
      <c r="D173" s="70"/>
      <c r="E173" s="70"/>
      <c r="F173" s="72"/>
      <c r="G173" s="13" t="str">
        <f t="shared" si="10"/>
        <v/>
      </c>
      <c r="H173" s="18" t="str">
        <f t="shared" si="11"/>
        <v/>
      </c>
    </row>
    <row r="174" spans="3:8" x14ac:dyDescent="0.25">
      <c r="C174" s="69"/>
      <c r="D174" s="70"/>
      <c r="E174" s="70"/>
      <c r="F174" s="72"/>
      <c r="G174" s="13" t="str">
        <f t="shared" si="10"/>
        <v/>
      </c>
      <c r="H174" s="18" t="str">
        <f t="shared" si="11"/>
        <v/>
      </c>
    </row>
    <row r="175" spans="3:8" x14ac:dyDescent="0.25">
      <c r="C175" s="69"/>
      <c r="D175" s="70"/>
      <c r="E175" s="70"/>
      <c r="F175" s="72"/>
      <c r="G175" s="13" t="str">
        <f t="shared" si="10"/>
        <v/>
      </c>
      <c r="H175" s="18" t="str">
        <f t="shared" si="11"/>
        <v/>
      </c>
    </row>
    <row r="176" spans="3:8" x14ac:dyDescent="0.25">
      <c r="C176" s="69"/>
      <c r="D176" s="70"/>
      <c r="E176" s="70"/>
      <c r="F176" s="72"/>
      <c r="G176" s="13" t="str">
        <f t="shared" si="10"/>
        <v/>
      </c>
      <c r="H176" s="18" t="str">
        <f t="shared" si="11"/>
        <v/>
      </c>
    </row>
    <row r="177" spans="3:8" x14ac:dyDescent="0.25">
      <c r="C177" s="69"/>
      <c r="D177" s="70"/>
      <c r="E177" s="70"/>
      <c r="F177" s="72"/>
      <c r="G177" s="13" t="str">
        <f t="shared" si="10"/>
        <v/>
      </c>
      <c r="H177" s="18" t="str">
        <f t="shared" si="11"/>
        <v/>
      </c>
    </row>
    <row r="178" spans="3:8" x14ac:dyDescent="0.25">
      <c r="C178" s="69"/>
      <c r="D178" s="70"/>
      <c r="E178" s="70"/>
      <c r="F178" s="72"/>
      <c r="G178" s="13" t="str">
        <f t="shared" si="10"/>
        <v/>
      </c>
      <c r="H178" s="18" t="str">
        <f t="shared" si="11"/>
        <v/>
      </c>
    </row>
    <row r="179" spans="3:8" x14ac:dyDescent="0.25">
      <c r="C179" s="69"/>
      <c r="D179" s="70"/>
      <c r="E179" s="70"/>
      <c r="F179" s="72"/>
      <c r="G179" s="13" t="str">
        <f t="shared" si="10"/>
        <v/>
      </c>
      <c r="H179" s="18" t="str">
        <f t="shared" si="11"/>
        <v/>
      </c>
    </row>
    <row r="180" spans="3:8" x14ac:dyDescent="0.25">
      <c r="C180" s="69"/>
      <c r="D180" s="70"/>
      <c r="E180" s="70"/>
      <c r="F180" s="72"/>
      <c r="G180" s="13" t="str">
        <f t="shared" si="10"/>
        <v/>
      </c>
      <c r="H180" s="18" t="str">
        <f t="shared" si="11"/>
        <v/>
      </c>
    </row>
    <row r="181" spans="3:8" x14ac:dyDescent="0.25">
      <c r="C181" s="69"/>
      <c r="D181" s="70"/>
      <c r="E181" s="70"/>
      <c r="F181" s="72"/>
      <c r="G181" s="13" t="str">
        <f t="shared" si="10"/>
        <v/>
      </c>
      <c r="H181" s="18" t="str">
        <f t="shared" si="11"/>
        <v/>
      </c>
    </row>
    <row r="182" spans="3:8" x14ac:dyDescent="0.25">
      <c r="C182" s="69"/>
      <c r="D182" s="70"/>
      <c r="E182" s="70"/>
      <c r="F182" s="72"/>
      <c r="G182" s="13" t="str">
        <f t="shared" si="10"/>
        <v/>
      </c>
      <c r="H182" s="18" t="str">
        <f t="shared" si="11"/>
        <v/>
      </c>
    </row>
    <row r="183" spans="3:8" x14ac:dyDescent="0.25">
      <c r="C183" s="69"/>
      <c r="D183" s="70"/>
      <c r="E183" s="70"/>
      <c r="F183" s="72"/>
      <c r="G183" s="13" t="str">
        <f t="shared" si="10"/>
        <v/>
      </c>
      <c r="H183" s="18" t="str">
        <f t="shared" si="11"/>
        <v/>
      </c>
    </row>
    <row r="184" spans="3:8" x14ac:dyDescent="0.25">
      <c r="C184" s="69"/>
      <c r="D184" s="70"/>
      <c r="E184" s="70"/>
      <c r="F184" s="72"/>
      <c r="G184" s="13" t="str">
        <f t="shared" si="10"/>
        <v/>
      </c>
      <c r="H184" s="18" t="str">
        <f t="shared" si="11"/>
        <v/>
      </c>
    </row>
    <row r="185" spans="3:8" x14ac:dyDescent="0.25">
      <c r="C185" s="69"/>
      <c r="D185" s="70"/>
      <c r="E185" s="70"/>
      <c r="F185" s="72"/>
      <c r="G185" s="13" t="str">
        <f t="shared" si="10"/>
        <v/>
      </c>
      <c r="H185" s="18" t="str">
        <f t="shared" si="11"/>
        <v/>
      </c>
    </row>
    <row r="186" spans="3:8" x14ac:dyDescent="0.25">
      <c r="C186" s="69"/>
      <c r="D186" s="70"/>
      <c r="E186" s="70"/>
      <c r="F186" s="72"/>
      <c r="G186" s="13" t="str">
        <f t="shared" si="10"/>
        <v/>
      </c>
      <c r="H186" s="18" t="str">
        <f t="shared" si="11"/>
        <v/>
      </c>
    </row>
    <row r="187" spans="3:8" x14ac:dyDescent="0.25">
      <c r="C187" s="69"/>
      <c r="D187" s="70"/>
      <c r="E187" s="70"/>
      <c r="F187" s="72"/>
      <c r="G187" s="13" t="str">
        <f t="shared" si="10"/>
        <v/>
      </c>
      <c r="H187" s="18" t="str">
        <f t="shared" si="11"/>
        <v/>
      </c>
    </row>
    <row r="188" spans="3:8" x14ac:dyDescent="0.25">
      <c r="C188" s="69"/>
      <c r="D188" s="70"/>
      <c r="E188" s="70"/>
      <c r="F188" s="72"/>
      <c r="G188" s="13" t="str">
        <f t="shared" si="10"/>
        <v/>
      </c>
      <c r="H188" s="18" t="str">
        <f t="shared" si="11"/>
        <v/>
      </c>
    </row>
    <row r="189" spans="3:8" x14ac:dyDescent="0.25">
      <c r="C189" s="69"/>
      <c r="D189" s="70"/>
      <c r="E189" s="70"/>
      <c r="F189" s="72"/>
      <c r="G189" s="13" t="str">
        <f t="shared" si="10"/>
        <v/>
      </c>
      <c r="H189" s="18" t="str">
        <f t="shared" si="11"/>
        <v/>
      </c>
    </row>
    <row r="190" spans="3:8" x14ac:dyDescent="0.25">
      <c r="C190" s="69"/>
      <c r="D190" s="70"/>
      <c r="E190" s="70"/>
      <c r="F190" s="72"/>
      <c r="G190" s="13" t="str">
        <f t="shared" si="10"/>
        <v/>
      </c>
      <c r="H190" s="18" t="str">
        <f t="shared" si="11"/>
        <v/>
      </c>
    </row>
    <row r="191" spans="3:8" x14ac:dyDescent="0.25">
      <c r="C191" s="69"/>
      <c r="D191" s="70"/>
      <c r="E191" s="70"/>
      <c r="F191" s="72"/>
      <c r="G191" s="13" t="str">
        <f t="shared" si="10"/>
        <v/>
      </c>
      <c r="H191" s="18" t="str">
        <f t="shared" si="11"/>
        <v/>
      </c>
    </row>
    <row r="192" spans="3:8" x14ac:dyDescent="0.25">
      <c r="C192" s="69"/>
      <c r="D192" s="70"/>
      <c r="E192" s="70"/>
      <c r="F192" s="72"/>
      <c r="G192" s="13" t="str">
        <f t="shared" si="10"/>
        <v/>
      </c>
      <c r="H192" s="18" t="str">
        <f t="shared" si="11"/>
        <v/>
      </c>
    </row>
    <row r="193" spans="3:8" x14ac:dyDescent="0.25">
      <c r="C193" s="69"/>
      <c r="D193" s="70"/>
      <c r="E193" s="70"/>
      <c r="F193" s="72"/>
      <c r="G193" s="13" t="str">
        <f t="shared" si="10"/>
        <v/>
      </c>
      <c r="H193" s="18" t="str">
        <f t="shared" si="11"/>
        <v/>
      </c>
    </row>
    <row r="194" spans="3:8" x14ac:dyDescent="0.25">
      <c r="C194" s="69"/>
      <c r="D194" s="70"/>
      <c r="E194" s="70"/>
      <c r="F194" s="72"/>
      <c r="G194" s="13" t="str">
        <f t="shared" si="10"/>
        <v/>
      </c>
      <c r="H194" s="18" t="str">
        <f t="shared" si="11"/>
        <v/>
      </c>
    </row>
    <row r="195" spans="3:8" x14ac:dyDescent="0.25">
      <c r="C195" s="69"/>
      <c r="D195" s="70"/>
      <c r="E195" s="70"/>
      <c r="F195" s="72"/>
      <c r="G195" s="13" t="str">
        <f t="shared" si="10"/>
        <v/>
      </c>
      <c r="H195" s="18" t="str">
        <f t="shared" si="11"/>
        <v/>
      </c>
    </row>
    <row r="196" spans="3:8" x14ac:dyDescent="0.25">
      <c r="C196" s="69"/>
      <c r="D196" s="70"/>
      <c r="E196" s="70"/>
      <c r="F196" s="72"/>
      <c r="G196" s="13" t="str">
        <f t="shared" si="10"/>
        <v/>
      </c>
      <c r="H196" s="18" t="str">
        <f t="shared" si="11"/>
        <v/>
      </c>
    </row>
    <row r="197" spans="3:8" x14ac:dyDescent="0.25">
      <c r="C197" s="69"/>
      <c r="D197" s="70"/>
      <c r="E197" s="70"/>
      <c r="F197" s="72"/>
      <c r="G197" s="13" t="str">
        <f t="shared" si="10"/>
        <v/>
      </c>
      <c r="H197" s="18" t="str">
        <f t="shared" si="11"/>
        <v/>
      </c>
    </row>
    <row r="198" spans="3:8" x14ac:dyDescent="0.25">
      <c r="C198" s="69"/>
      <c r="D198" s="70"/>
      <c r="E198" s="70"/>
      <c r="F198" s="72"/>
      <c r="G198" s="13" t="str">
        <f t="shared" si="10"/>
        <v/>
      </c>
      <c r="H198" s="18" t="str">
        <f t="shared" si="11"/>
        <v/>
      </c>
    </row>
    <row r="199" spans="3:8" x14ac:dyDescent="0.25">
      <c r="C199" s="69"/>
      <c r="D199" s="70"/>
      <c r="E199" s="70"/>
      <c r="F199" s="72"/>
      <c r="G199" s="13" t="str">
        <f t="shared" si="10"/>
        <v/>
      </c>
      <c r="H199" s="18" t="str">
        <f t="shared" si="11"/>
        <v/>
      </c>
    </row>
    <row r="200" spans="3:8" x14ac:dyDescent="0.25">
      <c r="C200" s="69"/>
      <c r="D200" s="70"/>
      <c r="E200" s="70"/>
      <c r="F200" s="72"/>
      <c r="G200" s="13" t="str">
        <f t="shared" si="10"/>
        <v/>
      </c>
      <c r="H200" s="18" t="str">
        <f t="shared" si="11"/>
        <v/>
      </c>
    </row>
    <row r="201" spans="3:8" x14ac:dyDescent="0.25">
      <c r="C201" s="69"/>
      <c r="D201" s="70"/>
      <c r="E201" s="70"/>
      <c r="F201" s="72"/>
      <c r="G201" s="13" t="str">
        <f t="shared" ref="G201:G208" si="12">IF(D201="","",IFERROR(INDEX(lst_tipofiscal,MATCH(D201,lst_categorias,0)),"Tributável"))</f>
        <v/>
      </c>
      <c r="H201" s="18" t="str">
        <f t="shared" ref="H201:H208" si="13">IF(C201="","",MONTH(C201))</f>
        <v/>
      </c>
    </row>
    <row r="202" spans="3:8" x14ac:dyDescent="0.25">
      <c r="C202" s="69"/>
      <c r="D202" s="70"/>
      <c r="E202" s="70"/>
      <c r="F202" s="72"/>
      <c r="G202" s="13" t="str">
        <f t="shared" si="12"/>
        <v/>
      </c>
      <c r="H202" s="18" t="str">
        <f t="shared" si="13"/>
        <v/>
      </c>
    </row>
    <row r="203" spans="3:8" x14ac:dyDescent="0.25">
      <c r="C203" s="69"/>
      <c r="D203" s="70"/>
      <c r="E203" s="70"/>
      <c r="F203" s="72"/>
      <c r="G203" s="13" t="str">
        <f t="shared" si="12"/>
        <v/>
      </c>
      <c r="H203" s="18" t="str">
        <f t="shared" si="13"/>
        <v/>
      </c>
    </row>
    <row r="204" spans="3:8" x14ac:dyDescent="0.25">
      <c r="C204" s="69"/>
      <c r="D204" s="70"/>
      <c r="E204" s="70"/>
      <c r="F204" s="72"/>
      <c r="G204" s="13" t="str">
        <f t="shared" si="12"/>
        <v/>
      </c>
      <c r="H204" s="18" t="str">
        <f t="shared" si="13"/>
        <v/>
      </c>
    </row>
    <row r="205" spans="3:8" x14ac:dyDescent="0.25">
      <c r="C205" s="69"/>
      <c r="D205" s="70"/>
      <c r="E205" s="70"/>
      <c r="F205" s="72"/>
      <c r="G205" s="13" t="str">
        <f t="shared" si="12"/>
        <v/>
      </c>
      <c r="H205" s="18" t="str">
        <f t="shared" si="13"/>
        <v/>
      </c>
    </row>
    <row r="206" spans="3:8" x14ac:dyDescent="0.25">
      <c r="C206" s="69"/>
      <c r="D206" s="70"/>
      <c r="E206" s="70"/>
      <c r="F206" s="72"/>
      <c r="G206" s="13" t="str">
        <f t="shared" si="12"/>
        <v/>
      </c>
      <c r="H206" s="18" t="str">
        <f t="shared" si="13"/>
        <v/>
      </c>
    </row>
    <row r="207" spans="3:8" x14ac:dyDescent="0.25">
      <c r="C207" s="69"/>
      <c r="D207" s="70"/>
      <c r="E207" s="70"/>
      <c r="F207" s="72"/>
      <c r="G207" s="13" t="str">
        <f t="shared" si="12"/>
        <v/>
      </c>
      <c r="H207" s="18" t="str">
        <f t="shared" si="13"/>
        <v/>
      </c>
    </row>
    <row r="208" spans="3:8" x14ac:dyDescent="0.25">
      <c r="C208" s="69"/>
      <c r="D208" s="70"/>
      <c r="E208" s="70"/>
      <c r="F208" s="72"/>
      <c r="G208" s="13" t="str">
        <f t="shared" si="12"/>
        <v/>
      </c>
      <c r="H208" s="18" t="str">
        <f t="shared" si="13"/>
        <v/>
      </c>
    </row>
  </sheetData>
  <sheetProtection sheet="1" objects="1" scenarios="1" selectLockedCells="1"/>
  <dataValidations count="4">
    <dataValidation type="date" allowBlank="1" showInputMessage="1" showErrorMessage="1" errorTitle="Data fora do ano-calendário" error="A data deve estar dentro do ano-calendário definido na aba AJUSTES." promptTitle="Dica" prompt="Use dd/mm/aaaa dentro do ano-calendário" sqref="C9:C208" xr:uid="{00000000-0002-0000-0300-000000000000}">
      <formula1>DATE(p_ano,1,1)</formula1>
      <formula2>DATE(p_ano,12,31)</formula2>
    </dataValidation>
    <dataValidation type="list" allowBlank="1" showErrorMessage="1" errorTitle="Categoria inválida" error="Escolha uma categoria da lista suspensa." sqref="D9:D208" xr:uid="{00000000-0002-0000-0300-000001000000}">
      <formula1>lst_categorias</formula1>
    </dataValidation>
    <dataValidation type="textLength" allowBlank="1" showErrorMessage="1" errorTitle="Texto longo" error="Use no máximo 60 caracteres." sqref="E9:E208" xr:uid="{00000000-0002-0000-0300-000002000000}">
      <formula1>0</formula1>
      <formula2>60</formula2>
    </dataValidation>
    <dataValidation type="decimal" allowBlank="1" showErrorMessage="1" errorTitle="Valor inválido" error="Informe um valor positivo (use apenas números)." sqref="F9:F208" xr:uid="{00000000-0002-0000-0300-000003000000}">
      <formula1>0.01</formula1>
      <formula2>999999999</formula2>
    </dataValidation>
  </dataValidation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A4A5C"/>
    <pageSetUpPr fitToPage="1"/>
  </sheetPr>
  <dimension ref="A1:L108"/>
  <sheetViews>
    <sheetView showGridLines="0" showRowColHeaders="0" workbookViewId="0">
      <selection activeCell="A14" sqref="A14"/>
    </sheetView>
  </sheetViews>
  <sheetFormatPr defaultColWidth="0" defaultRowHeight="15" x14ac:dyDescent="0.25"/>
  <cols>
    <col min="1" max="1" width="26" customWidth="1"/>
    <col min="2" max="2" width="3" customWidth="1"/>
    <col min="3" max="3" width="14" customWidth="1"/>
    <col min="4" max="4" width="28" customWidth="1"/>
    <col min="5" max="5" width="18" customWidth="1"/>
    <col min="6" max="6" width="28" customWidth="1"/>
    <col min="7" max="7" width="20" customWidth="1"/>
    <col min="8" max="8" width="16" customWidth="1"/>
    <col min="9" max="9" width="3" customWidth="1"/>
    <col min="10" max="10" width="30" customWidth="1"/>
    <col min="11" max="12" width="16" customWidth="1"/>
    <col min="13" max="13" width="3" customWidth="1"/>
    <col min="14" max="16384" width="9.140625" hidden="1"/>
  </cols>
  <sheetData>
    <row r="1" spans="1:12" ht="21.95" customHeight="1" x14ac:dyDescent="0.25">
      <c r="A1" s="1"/>
    </row>
    <row r="2" spans="1:12" ht="27.95" customHeight="1" x14ac:dyDescent="0.25">
      <c r="A2" s="2" t="s">
        <v>0</v>
      </c>
    </row>
    <row r="3" spans="1:12" ht="27.95" customHeight="1" x14ac:dyDescent="0.25">
      <c r="A3" s="1"/>
      <c r="C3" s="9" t="s">
        <v>72</v>
      </c>
    </row>
    <row r="4" spans="1:12" ht="21.95" customHeight="1" x14ac:dyDescent="0.25">
      <c r="A4" s="1"/>
      <c r="C4" s="5" t="s">
        <v>73</v>
      </c>
    </row>
    <row r="5" spans="1:12" ht="21.95" customHeight="1" x14ac:dyDescent="0.25">
      <c r="A5" s="1"/>
      <c r="D5" s="61" t="s">
        <v>12</v>
      </c>
      <c r="E5" s="62" t="s">
        <v>13</v>
      </c>
    </row>
    <row r="6" spans="1:12" ht="21.95" customHeight="1" x14ac:dyDescent="0.25">
      <c r="A6" s="1"/>
    </row>
    <row r="7" spans="1:12" ht="21.95" customHeight="1" x14ac:dyDescent="0.25">
      <c r="A7" s="1"/>
    </row>
    <row r="8" spans="1:12" ht="21.95" customHeight="1" x14ac:dyDescent="0.25">
      <c r="A8" s="1"/>
      <c r="C8" s="68" t="s">
        <v>56</v>
      </c>
      <c r="D8" s="68" t="s">
        <v>74</v>
      </c>
      <c r="E8" s="68" t="s">
        <v>75</v>
      </c>
      <c r="F8" s="68" t="s">
        <v>76</v>
      </c>
      <c r="G8" s="68" t="s">
        <v>77</v>
      </c>
      <c r="H8" s="68" t="s">
        <v>59</v>
      </c>
      <c r="J8" s="17" t="s">
        <v>74</v>
      </c>
      <c r="K8" s="17" t="s">
        <v>78</v>
      </c>
      <c r="L8" s="17" t="s">
        <v>79</v>
      </c>
    </row>
    <row r="9" spans="1:12" ht="21.95" customHeight="1" x14ac:dyDescent="0.25">
      <c r="A9" s="1"/>
      <c r="C9" s="69">
        <v>45726</v>
      </c>
      <c r="D9" s="70" t="s">
        <v>80</v>
      </c>
      <c r="E9" s="70" t="s">
        <v>81</v>
      </c>
      <c r="F9" s="70" t="s">
        <v>82</v>
      </c>
      <c r="G9" s="71" t="s">
        <v>83</v>
      </c>
      <c r="H9" s="72">
        <v>1200</v>
      </c>
      <c r="J9" s="28" t="s">
        <v>80</v>
      </c>
      <c r="K9" s="29">
        <f>SUMIFS($H$9:$H$108,$D$9:$D$108,J9)</f>
        <v>6600</v>
      </c>
      <c r="L9" s="29">
        <f>K9</f>
        <v>6600</v>
      </c>
    </row>
    <row r="10" spans="1:12" ht="21.95" customHeight="1" x14ac:dyDescent="0.25">
      <c r="A10" s="1"/>
      <c r="C10" s="69">
        <v>46022</v>
      </c>
      <c r="D10" s="70" t="s">
        <v>80</v>
      </c>
      <c r="E10" s="70" t="s">
        <v>81</v>
      </c>
      <c r="F10" s="70" t="s">
        <v>84</v>
      </c>
      <c r="G10" s="71" t="s">
        <v>85</v>
      </c>
      <c r="H10" s="72">
        <v>5400</v>
      </c>
      <c r="J10" s="28" t="s">
        <v>86</v>
      </c>
      <c r="K10" s="29">
        <f>SUMIFS($H$9:$H$108,$D$9:$D$108,J10)</f>
        <v>4200</v>
      </c>
      <c r="L10" s="29">
        <f>SUM(L20:L24)</f>
        <v>3561.5</v>
      </c>
    </row>
    <row r="11" spans="1:12" ht="21.95" customHeight="1" x14ac:dyDescent="0.25">
      <c r="A11" s="93" t="str">
        <f>HYPERLINK("#'INÍCIO'!A1","   INÍCIO")</f>
        <v xml:space="preserve">   INÍCIO</v>
      </c>
      <c r="C11" s="69">
        <v>45874</v>
      </c>
      <c r="D11" s="70" t="s">
        <v>86</v>
      </c>
      <c r="E11" s="70" t="s">
        <v>81</v>
      </c>
      <c r="F11" s="70" t="s">
        <v>87</v>
      </c>
      <c r="G11" s="71" t="s">
        <v>88</v>
      </c>
      <c r="H11" s="72">
        <v>4200</v>
      </c>
      <c r="J11" s="28" t="s">
        <v>89</v>
      </c>
      <c r="K11" s="29">
        <f>SUMIFS($H$9:$H$108,$D$9:$D$108,J11)</f>
        <v>2400</v>
      </c>
      <c r="L11" s="29">
        <f>MIN(K11,p_pgbl_pct*r_trib)</f>
        <v>2400</v>
      </c>
    </row>
    <row r="12" spans="1:12" ht="21.95" customHeight="1" x14ac:dyDescent="0.25">
      <c r="A12" s="93" t="str">
        <f>HYPERLINK("#'TITULAR'!A1","   TITULAR")</f>
        <v xml:space="preserve">   TITULAR</v>
      </c>
      <c r="C12" s="69">
        <v>46022</v>
      </c>
      <c r="D12" s="70" t="s">
        <v>89</v>
      </c>
      <c r="E12" s="70" t="s">
        <v>81</v>
      </c>
      <c r="F12" s="70" t="s">
        <v>90</v>
      </c>
      <c r="G12" s="71" t="s">
        <v>91</v>
      </c>
      <c r="H12" s="72">
        <v>2400</v>
      </c>
      <c r="J12" s="28" t="s">
        <v>92</v>
      </c>
      <c r="K12" s="29">
        <f>SUMIFS($H$9:$H$108,$D$9:$D$108,J12)</f>
        <v>0</v>
      </c>
      <c r="L12" s="29">
        <f>K12</f>
        <v>0</v>
      </c>
    </row>
    <row r="13" spans="1:12" ht="21.95" customHeight="1" x14ac:dyDescent="0.25">
      <c r="A13" s="93" t="str">
        <f>HYPERLINK("#'INFORMES'!A1","   INFORMES")</f>
        <v xml:space="preserve">   INFORMES</v>
      </c>
      <c r="C13" s="69"/>
      <c r="D13" s="70"/>
      <c r="E13" s="70"/>
      <c r="F13" s="70"/>
      <c r="G13" s="71"/>
      <c r="H13" s="72"/>
      <c r="J13" s="28" t="s">
        <v>93</v>
      </c>
      <c r="K13" s="29">
        <f>SUMIFS($H$9:$H$108,$D$9:$D$108,J13)</f>
        <v>0</v>
      </c>
      <c r="L13" s="29">
        <f>K13</f>
        <v>0</v>
      </c>
    </row>
    <row r="14" spans="1:12" ht="21.95" customHeight="1" x14ac:dyDescent="0.25">
      <c r="A14" s="93" t="str">
        <f>HYPERLINK("#'NOTAS'!A1","   NOTAS")</f>
        <v xml:space="preserve">   NOTAS</v>
      </c>
      <c r="C14" s="69"/>
      <c r="D14" s="70"/>
      <c r="E14" s="70"/>
      <c r="F14" s="70"/>
      <c r="G14" s="71"/>
      <c r="H14" s="72"/>
      <c r="J14" s="28" t="s">
        <v>94</v>
      </c>
      <c r="K14" s="30">
        <f>(TITULAR!D19="SIM")+TITULAR!D21</f>
        <v>0</v>
      </c>
      <c r="L14" s="29">
        <f>K14*p_ded_dep</f>
        <v>0</v>
      </c>
    </row>
    <row r="15" spans="1:12" ht="21.95" customHeight="1" x14ac:dyDescent="0.25">
      <c r="A15" s="94" t="str">
        <f>HYPERLINK("#'DEDUÇÕES'!A1","   DEDUÇÕES")</f>
        <v xml:space="preserve">   DEDUÇÕES</v>
      </c>
      <c r="C15" s="69"/>
      <c r="D15" s="70"/>
      <c r="E15" s="70"/>
      <c r="F15" s="70"/>
      <c r="G15" s="71"/>
      <c r="H15" s="72"/>
      <c r="J15" s="31" t="s">
        <v>51</v>
      </c>
      <c r="K15" s="32">
        <f>SUM(K9:K13)</f>
        <v>13200</v>
      </c>
      <c r="L15" s="32">
        <f>SUM(L9:L14)</f>
        <v>12561.5</v>
      </c>
    </row>
    <row r="16" spans="1:12" ht="21.95" customHeight="1" x14ac:dyDescent="0.25">
      <c r="A16" s="93" t="str">
        <f>HYPERLINK("#'RESUMO'!A1","   RESUMO")</f>
        <v xml:space="preserve">   RESUMO</v>
      </c>
      <c r="C16" s="69"/>
      <c r="D16" s="70"/>
      <c r="E16" s="70"/>
      <c r="F16" s="70"/>
      <c r="G16" s="71"/>
      <c r="H16" s="72"/>
      <c r="J16" s="14" t="s">
        <v>95</v>
      </c>
    </row>
    <row r="17" spans="1:12" ht="21.95" customHeight="1" x14ac:dyDescent="0.25">
      <c r="A17" s="93" t="str">
        <f>HYPERLINK("#'CHECKLIST'!A1","   CHECKLIST")</f>
        <v xml:space="preserve">   CHECKLIST</v>
      </c>
      <c r="C17" s="69"/>
      <c r="D17" s="70"/>
      <c r="E17" s="70"/>
      <c r="F17" s="70"/>
      <c r="G17" s="71"/>
      <c r="H17" s="72"/>
    </row>
    <row r="18" spans="1:12" ht="21.95" customHeight="1" x14ac:dyDescent="0.25">
      <c r="A18" s="93" t="str">
        <f>HYPERLINK("#'AJUSTES'!A1","   AJUSTES")</f>
        <v xml:space="preserve">   AJUSTES</v>
      </c>
      <c r="C18" s="69"/>
      <c r="D18" s="70"/>
      <c r="E18" s="70"/>
      <c r="F18" s="70"/>
      <c r="G18" s="71"/>
      <c r="H18" s="72"/>
    </row>
    <row r="19" spans="1:12" ht="21.95" customHeight="1" x14ac:dyDescent="0.25">
      <c r="A19" s="1"/>
      <c r="C19" s="69"/>
      <c r="D19" s="70"/>
      <c r="E19" s="70"/>
      <c r="F19" s="70"/>
      <c r="G19" s="71"/>
      <c r="H19" s="72"/>
      <c r="J19" s="17" t="s">
        <v>96</v>
      </c>
      <c r="K19" s="17" t="s">
        <v>78</v>
      </c>
      <c r="L19" s="17" t="s">
        <v>79</v>
      </c>
    </row>
    <row r="20" spans="1:12" ht="21.95" customHeight="1" x14ac:dyDescent="0.25">
      <c r="A20" s="1"/>
      <c r="C20" s="69"/>
      <c r="D20" s="70"/>
      <c r="E20" s="70"/>
      <c r="F20" s="70"/>
      <c r="G20" s="71"/>
      <c r="H20" s="72"/>
      <c r="J20" s="28" t="s">
        <v>81</v>
      </c>
      <c r="K20" s="29">
        <f>SUMIFS($H$9:$H$108,$D$9:$D$108,"Educação",$E$9:$E$108,J20)</f>
        <v>4200</v>
      </c>
      <c r="L20" s="29">
        <f>MIN(K20,p_lim_edu)</f>
        <v>3561.5</v>
      </c>
    </row>
    <row r="21" spans="1:12" ht="21.95" customHeight="1" x14ac:dyDescent="0.25">
      <c r="A21" s="6" t="s">
        <v>9</v>
      </c>
      <c r="C21" s="69"/>
      <c r="D21" s="70"/>
      <c r="E21" s="70"/>
      <c r="F21" s="70"/>
      <c r="G21" s="71"/>
      <c r="H21" s="72"/>
      <c r="J21" s="28" t="s">
        <v>97</v>
      </c>
      <c r="K21" s="29">
        <f>SUMIFS($H$9:$H$108,$D$9:$D$108,"Educação",$E$9:$E$108,J21)</f>
        <v>0</v>
      </c>
      <c r="L21" s="29">
        <f>MIN(K21,p_lim_edu)</f>
        <v>0</v>
      </c>
    </row>
    <row r="22" spans="1:12" ht="21.95" customHeight="1" x14ac:dyDescent="0.25">
      <c r="A22" s="7" t="s">
        <v>277</v>
      </c>
      <c r="C22" s="69"/>
      <c r="D22" s="70"/>
      <c r="E22" s="70"/>
      <c r="F22" s="70"/>
      <c r="G22" s="71"/>
      <c r="H22" s="72"/>
      <c r="J22" s="28" t="s">
        <v>98</v>
      </c>
      <c r="K22" s="29">
        <f>SUMIFS($H$9:$H$108,$D$9:$D$108,"Educação",$E$9:$E$108,J22)</f>
        <v>0</v>
      </c>
      <c r="L22" s="29">
        <f>MIN(K22,p_lim_edu)</f>
        <v>0</v>
      </c>
    </row>
    <row r="23" spans="1:12" ht="21.95" customHeight="1" x14ac:dyDescent="0.25">
      <c r="A23" s="1"/>
      <c r="C23" s="69"/>
      <c r="D23" s="70"/>
      <c r="E23" s="70"/>
      <c r="F23" s="70"/>
      <c r="G23" s="71"/>
      <c r="H23" s="72"/>
      <c r="J23" s="28" t="s">
        <v>99</v>
      </c>
      <c r="K23" s="29">
        <f>SUMIFS($H$9:$H$108,$D$9:$D$108,"Educação",$E$9:$E$108,J23)</f>
        <v>0</v>
      </c>
      <c r="L23" s="29">
        <f>MIN(K23,p_lim_edu)</f>
        <v>0</v>
      </c>
    </row>
    <row r="24" spans="1:12" ht="21.95" customHeight="1" x14ac:dyDescent="0.25">
      <c r="A24" s="1"/>
      <c r="C24" s="69"/>
      <c r="D24" s="70"/>
      <c r="E24" s="70"/>
      <c r="F24" s="70"/>
      <c r="G24" s="71"/>
      <c r="H24" s="72"/>
      <c r="J24" s="28" t="s">
        <v>100</v>
      </c>
      <c r="K24" s="29">
        <f>SUMIFS($H$9:$H$108,$D$9:$D$108,"Educação",$E$9:$E$108,J24)</f>
        <v>0</v>
      </c>
      <c r="L24" s="29">
        <f>MIN(K24,p_lim_edu)</f>
        <v>0</v>
      </c>
    </row>
    <row r="25" spans="1:12" ht="21.95" customHeight="1" x14ac:dyDescent="0.25">
      <c r="A25" s="1"/>
      <c r="C25" s="69"/>
      <c r="D25" s="70"/>
      <c r="E25" s="70"/>
      <c r="F25" s="70"/>
      <c r="G25" s="71"/>
      <c r="H25" s="72"/>
    </row>
    <row r="26" spans="1:12" ht="21.95" customHeight="1" x14ac:dyDescent="0.25">
      <c r="A26" s="1"/>
      <c r="C26" s="69"/>
      <c r="D26" s="70"/>
      <c r="E26" s="70"/>
      <c r="F26" s="70"/>
      <c r="G26" s="71"/>
      <c r="H26" s="72"/>
    </row>
    <row r="27" spans="1:12" ht="21.95" customHeight="1" x14ac:dyDescent="0.25">
      <c r="A27" s="1"/>
      <c r="C27" s="69"/>
      <c r="D27" s="70"/>
      <c r="E27" s="70"/>
      <c r="F27" s="70"/>
      <c r="G27" s="71"/>
      <c r="H27" s="72"/>
    </row>
    <row r="28" spans="1:12" ht="21.95" customHeight="1" x14ac:dyDescent="0.25">
      <c r="A28" s="1"/>
      <c r="C28" s="69"/>
      <c r="D28" s="70"/>
      <c r="E28" s="70"/>
      <c r="F28" s="70"/>
      <c r="G28" s="71"/>
      <c r="H28" s="72"/>
    </row>
    <row r="29" spans="1:12" ht="21.95" customHeight="1" x14ac:dyDescent="0.25">
      <c r="A29" s="1"/>
      <c r="C29" s="69"/>
      <c r="D29" s="70"/>
      <c r="E29" s="70"/>
      <c r="F29" s="70"/>
      <c r="G29" s="71"/>
      <c r="H29" s="72"/>
    </row>
    <row r="30" spans="1:12" ht="21.95" customHeight="1" x14ac:dyDescent="0.25">
      <c r="A30" s="1"/>
      <c r="C30" s="69"/>
      <c r="D30" s="70"/>
      <c r="E30" s="70"/>
      <c r="F30" s="70"/>
      <c r="G30" s="71"/>
      <c r="H30" s="72"/>
    </row>
    <row r="31" spans="1:12" ht="21.95" customHeight="1" x14ac:dyDescent="0.25">
      <c r="A31" s="1"/>
      <c r="C31" s="69"/>
      <c r="D31" s="70"/>
      <c r="E31" s="70"/>
      <c r="F31" s="70"/>
      <c r="G31" s="71"/>
      <c r="H31" s="72"/>
    </row>
    <row r="32" spans="1:12" ht="21.95" customHeight="1" x14ac:dyDescent="0.25">
      <c r="A32" s="1"/>
      <c r="C32" s="69"/>
      <c r="D32" s="70"/>
      <c r="E32" s="70"/>
      <c r="F32" s="70"/>
      <c r="G32" s="71"/>
      <c r="H32" s="72"/>
    </row>
    <row r="33" spans="1:8" ht="21.95" customHeight="1" x14ac:dyDescent="0.25">
      <c r="A33" s="1"/>
      <c r="C33" s="69"/>
      <c r="D33" s="70"/>
      <c r="E33" s="70"/>
      <c r="F33" s="70"/>
      <c r="G33" s="71"/>
      <c r="H33" s="72"/>
    </row>
    <row r="34" spans="1:8" ht="21.95" customHeight="1" x14ac:dyDescent="0.25">
      <c r="A34" s="1"/>
      <c r="C34" s="69"/>
      <c r="D34" s="70"/>
      <c r="E34" s="70"/>
      <c r="F34" s="70"/>
      <c r="G34" s="71"/>
      <c r="H34" s="72"/>
    </row>
    <row r="35" spans="1:8" ht="21.95" customHeight="1" x14ac:dyDescent="0.25">
      <c r="A35" s="1"/>
      <c r="C35" s="69"/>
      <c r="D35" s="70"/>
      <c r="E35" s="70"/>
      <c r="F35" s="70"/>
      <c r="G35" s="71"/>
      <c r="H35" s="72"/>
    </row>
    <row r="36" spans="1:8" ht="21.95" customHeight="1" x14ac:dyDescent="0.25">
      <c r="A36" s="1"/>
      <c r="C36" s="69"/>
      <c r="D36" s="70"/>
      <c r="E36" s="70"/>
      <c r="F36" s="70"/>
      <c r="G36" s="71"/>
      <c r="H36" s="72"/>
    </row>
    <row r="37" spans="1:8" ht="21.95" customHeight="1" x14ac:dyDescent="0.25">
      <c r="A37" s="1"/>
      <c r="C37" s="69"/>
      <c r="D37" s="70"/>
      <c r="E37" s="70"/>
      <c r="F37" s="70"/>
      <c r="G37" s="71"/>
      <c r="H37" s="72"/>
    </row>
    <row r="38" spans="1:8" ht="21.95" customHeight="1" x14ac:dyDescent="0.25">
      <c r="A38" s="1"/>
      <c r="C38" s="69"/>
      <c r="D38" s="70"/>
      <c r="E38" s="70"/>
      <c r="F38" s="70"/>
      <c r="G38" s="71"/>
      <c r="H38" s="72"/>
    </row>
    <row r="39" spans="1:8" ht="21.95" customHeight="1" x14ac:dyDescent="0.25">
      <c r="A39" s="1"/>
      <c r="C39" s="69"/>
      <c r="D39" s="70"/>
      <c r="E39" s="70"/>
      <c r="F39" s="70"/>
      <c r="G39" s="71"/>
      <c r="H39" s="72"/>
    </row>
    <row r="40" spans="1:8" ht="21.95" customHeight="1" x14ac:dyDescent="0.25">
      <c r="A40" s="1"/>
      <c r="C40" s="69"/>
      <c r="D40" s="70"/>
      <c r="E40" s="70"/>
      <c r="F40" s="70"/>
      <c r="G40" s="71"/>
      <c r="H40" s="72"/>
    </row>
    <row r="41" spans="1:8" ht="21.95" customHeight="1" x14ac:dyDescent="0.25">
      <c r="A41" s="1"/>
      <c r="C41" s="69"/>
      <c r="D41" s="70"/>
      <c r="E41" s="70"/>
      <c r="F41" s="70"/>
      <c r="G41" s="71"/>
      <c r="H41" s="72"/>
    </row>
    <row r="42" spans="1:8" ht="21.95" customHeight="1" x14ac:dyDescent="0.25">
      <c r="A42" s="1"/>
      <c r="C42" s="69"/>
      <c r="D42" s="70"/>
      <c r="E42" s="70"/>
      <c r="F42" s="70"/>
      <c r="G42" s="71"/>
      <c r="H42" s="72"/>
    </row>
    <row r="43" spans="1:8" ht="21.95" customHeight="1" x14ac:dyDescent="0.25">
      <c r="A43" s="1"/>
      <c r="C43" s="69"/>
      <c r="D43" s="70"/>
      <c r="E43" s="70"/>
      <c r="F43" s="70"/>
      <c r="G43" s="71"/>
      <c r="H43" s="72"/>
    </row>
    <row r="44" spans="1:8" ht="21.95" customHeight="1" x14ac:dyDescent="0.25">
      <c r="A44" s="1"/>
      <c r="C44" s="69"/>
      <c r="D44" s="70"/>
      <c r="E44" s="70"/>
      <c r="F44" s="70"/>
      <c r="G44" s="71"/>
      <c r="H44" s="72"/>
    </row>
    <row r="45" spans="1:8" ht="21.95" customHeight="1" x14ac:dyDescent="0.25">
      <c r="A45" s="1"/>
      <c r="C45" s="69"/>
      <c r="D45" s="70"/>
      <c r="E45" s="70"/>
      <c r="F45" s="70"/>
      <c r="G45" s="71"/>
      <c r="H45" s="72"/>
    </row>
    <row r="46" spans="1:8" ht="21.95" customHeight="1" x14ac:dyDescent="0.25">
      <c r="A46" s="1"/>
      <c r="C46" s="69"/>
      <c r="D46" s="70"/>
      <c r="E46" s="70"/>
      <c r="F46" s="70"/>
      <c r="G46" s="71"/>
      <c r="H46" s="72"/>
    </row>
    <row r="47" spans="1:8" ht="21.95" customHeight="1" x14ac:dyDescent="0.25">
      <c r="A47" s="1"/>
      <c r="C47" s="69"/>
      <c r="D47" s="70"/>
      <c r="E47" s="70"/>
      <c r="F47" s="70"/>
      <c r="G47" s="71"/>
      <c r="H47" s="72"/>
    </row>
    <row r="48" spans="1:8" ht="21.95" customHeight="1" x14ac:dyDescent="0.25">
      <c r="A48" s="1"/>
      <c r="C48" s="69"/>
      <c r="D48" s="70"/>
      <c r="E48" s="70"/>
      <c r="F48" s="70"/>
      <c r="G48" s="71"/>
      <c r="H48" s="72"/>
    </row>
    <row r="49" spans="1:8" ht="21.95" customHeight="1" x14ac:dyDescent="0.25">
      <c r="A49" s="1"/>
      <c r="C49" s="69"/>
      <c r="D49" s="70"/>
      <c r="E49" s="70"/>
      <c r="F49" s="70"/>
      <c r="G49" s="71"/>
      <c r="H49" s="72"/>
    </row>
    <row r="50" spans="1:8" ht="21.95" customHeight="1" x14ac:dyDescent="0.25">
      <c r="A50" s="1"/>
      <c r="C50" s="69"/>
      <c r="D50" s="70"/>
      <c r="E50" s="70"/>
      <c r="F50" s="70"/>
      <c r="G50" s="71"/>
      <c r="H50" s="72"/>
    </row>
    <row r="51" spans="1:8" ht="21.95" customHeight="1" x14ac:dyDescent="0.25">
      <c r="A51" s="1"/>
      <c r="C51" s="69"/>
      <c r="D51" s="70"/>
      <c r="E51" s="70"/>
      <c r="F51" s="70"/>
      <c r="G51" s="71"/>
      <c r="H51" s="72"/>
    </row>
    <row r="52" spans="1:8" ht="21.95" customHeight="1" x14ac:dyDescent="0.25">
      <c r="A52" s="1"/>
      <c r="C52" s="69"/>
      <c r="D52" s="70"/>
      <c r="E52" s="70"/>
      <c r="F52" s="70"/>
      <c r="G52" s="71"/>
      <c r="H52" s="72"/>
    </row>
    <row r="53" spans="1:8" ht="21.95" customHeight="1" x14ac:dyDescent="0.25">
      <c r="A53" s="1"/>
      <c r="C53" s="69"/>
      <c r="D53" s="70"/>
      <c r="E53" s="70"/>
      <c r="F53" s="70"/>
      <c r="G53" s="71"/>
      <c r="H53" s="72"/>
    </row>
    <row r="54" spans="1:8" ht="21.95" customHeight="1" x14ac:dyDescent="0.25">
      <c r="A54" s="1"/>
      <c r="C54" s="69"/>
      <c r="D54" s="70"/>
      <c r="E54" s="70"/>
      <c r="F54" s="70"/>
      <c r="G54" s="71"/>
      <c r="H54" s="72"/>
    </row>
    <row r="55" spans="1:8" ht="21.95" customHeight="1" x14ac:dyDescent="0.25">
      <c r="A55" s="1"/>
      <c r="C55" s="69"/>
      <c r="D55" s="70"/>
      <c r="E55" s="70"/>
      <c r="F55" s="70"/>
      <c r="G55" s="71"/>
      <c r="H55" s="72"/>
    </row>
    <row r="56" spans="1:8" ht="21.95" customHeight="1" x14ac:dyDescent="0.25">
      <c r="A56" s="1"/>
      <c r="C56" s="69"/>
      <c r="D56" s="70"/>
      <c r="E56" s="70"/>
      <c r="F56" s="70"/>
      <c r="G56" s="71"/>
      <c r="H56" s="72"/>
    </row>
    <row r="57" spans="1:8" ht="21.95" customHeight="1" x14ac:dyDescent="0.25">
      <c r="A57" s="1"/>
      <c r="C57" s="69"/>
      <c r="D57" s="70"/>
      <c r="E57" s="70"/>
      <c r="F57" s="70"/>
      <c r="G57" s="71"/>
      <c r="H57" s="72"/>
    </row>
    <row r="58" spans="1:8" ht="21.95" customHeight="1" x14ac:dyDescent="0.25">
      <c r="A58" s="1"/>
      <c r="C58" s="69"/>
      <c r="D58" s="70"/>
      <c r="E58" s="70"/>
      <c r="F58" s="70"/>
      <c r="G58" s="71"/>
      <c r="H58" s="72"/>
    </row>
    <row r="59" spans="1:8" ht="21.95" customHeight="1" x14ac:dyDescent="0.25">
      <c r="A59" s="1"/>
      <c r="C59" s="69"/>
      <c r="D59" s="70"/>
      <c r="E59" s="70"/>
      <c r="F59" s="70"/>
      <c r="G59" s="71"/>
      <c r="H59" s="72"/>
    </row>
    <row r="60" spans="1:8" ht="21.95" customHeight="1" x14ac:dyDescent="0.25">
      <c r="A60" s="1"/>
      <c r="C60" s="69"/>
      <c r="D60" s="70"/>
      <c r="E60" s="70"/>
      <c r="F60" s="70"/>
      <c r="G60" s="71"/>
      <c r="H60" s="72"/>
    </row>
    <row r="61" spans="1:8" ht="21.95" customHeight="1" x14ac:dyDescent="0.25">
      <c r="A61" s="1"/>
      <c r="C61" s="69"/>
      <c r="D61" s="70"/>
      <c r="E61" s="70"/>
      <c r="F61" s="70"/>
      <c r="G61" s="71"/>
      <c r="H61" s="72"/>
    </row>
    <row r="62" spans="1:8" ht="21.95" customHeight="1" x14ac:dyDescent="0.25">
      <c r="A62" s="1"/>
      <c r="C62" s="69"/>
      <c r="D62" s="70"/>
      <c r="E62" s="70"/>
      <c r="F62" s="70"/>
      <c r="G62" s="71"/>
      <c r="H62" s="72"/>
    </row>
    <row r="63" spans="1:8" ht="21.95" customHeight="1" x14ac:dyDescent="0.25">
      <c r="A63" s="1"/>
      <c r="C63" s="69"/>
      <c r="D63" s="70"/>
      <c r="E63" s="70"/>
      <c r="F63" s="70"/>
      <c r="G63" s="71"/>
      <c r="H63" s="72"/>
    </row>
    <row r="64" spans="1:8" ht="21.95" customHeight="1" x14ac:dyDescent="0.25">
      <c r="A64" s="1"/>
      <c r="C64" s="69"/>
      <c r="D64" s="70"/>
      <c r="E64" s="70"/>
      <c r="F64" s="70"/>
      <c r="G64" s="71"/>
      <c r="H64" s="72"/>
    </row>
    <row r="65" spans="1:8" ht="21.95" customHeight="1" x14ac:dyDescent="0.25">
      <c r="A65" s="1"/>
      <c r="C65" s="69"/>
      <c r="D65" s="70"/>
      <c r="E65" s="70"/>
      <c r="F65" s="70"/>
      <c r="G65" s="71"/>
      <c r="H65" s="72"/>
    </row>
    <row r="66" spans="1:8" ht="21.95" customHeight="1" x14ac:dyDescent="0.25">
      <c r="A66" s="1"/>
      <c r="C66" s="69"/>
      <c r="D66" s="70"/>
      <c r="E66" s="70"/>
      <c r="F66" s="70"/>
      <c r="G66" s="71"/>
      <c r="H66" s="72"/>
    </row>
    <row r="67" spans="1:8" ht="21.95" customHeight="1" x14ac:dyDescent="0.25">
      <c r="A67" s="1"/>
      <c r="C67" s="69"/>
      <c r="D67" s="70"/>
      <c r="E67" s="70"/>
      <c r="F67" s="70"/>
      <c r="G67" s="71"/>
      <c r="H67" s="72"/>
    </row>
    <row r="68" spans="1:8" ht="21.95" customHeight="1" x14ac:dyDescent="0.25">
      <c r="A68" s="1"/>
      <c r="C68" s="69"/>
      <c r="D68" s="70"/>
      <c r="E68" s="70"/>
      <c r="F68" s="70"/>
      <c r="G68" s="71"/>
      <c r="H68" s="72"/>
    </row>
    <row r="69" spans="1:8" ht="21.95" customHeight="1" x14ac:dyDescent="0.25">
      <c r="A69" s="1"/>
      <c r="C69" s="69"/>
      <c r="D69" s="70"/>
      <c r="E69" s="70"/>
      <c r="F69" s="70"/>
      <c r="G69" s="71"/>
      <c r="H69" s="72"/>
    </row>
    <row r="70" spans="1:8" ht="21.95" customHeight="1" x14ac:dyDescent="0.25">
      <c r="A70" s="1"/>
      <c r="C70" s="69"/>
      <c r="D70" s="70"/>
      <c r="E70" s="70"/>
      <c r="F70" s="70"/>
      <c r="G70" s="71"/>
      <c r="H70" s="72"/>
    </row>
    <row r="71" spans="1:8" ht="21.95" customHeight="1" x14ac:dyDescent="0.25">
      <c r="A71" s="1"/>
      <c r="C71" s="69"/>
      <c r="D71" s="70"/>
      <c r="E71" s="70"/>
      <c r="F71" s="70"/>
      <c r="G71" s="71"/>
      <c r="H71" s="72"/>
    </row>
    <row r="72" spans="1:8" ht="21.95" customHeight="1" x14ac:dyDescent="0.25">
      <c r="A72" s="1"/>
      <c r="C72" s="69"/>
      <c r="D72" s="70"/>
      <c r="E72" s="70"/>
      <c r="F72" s="70"/>
      <c r="G72" s="71"/>
      <c r="H72" s="72"/>
    </row>
    <row r="73" spans="1:8" ht="21.95" customHeight="1" x14ac:dyDescent="0.25">
      <c r="A73" s="1"/>
      <c r="C73" s="69"/>
      <c r="D73" s="70"/>
      <c r="E73" s="70"/>
      <c r="F73" s="70"/>
      <c r="G73" s="71"/>
      <c r="H73" s="72"/>
    </row>
    <row r="74" spans="1:8" ht="21.95" customHeight="1" x14ac:dyDescent="0.25">
      <c r="A74" s="1"/>
      <c r="C74" s="69"/>
      <c r="D74" s="70"/>
      <c r="E74" s="70"/>
      <c r="F74" s="70"/>
      <c r="G74" s="71"/>
      <c r="H74" s="72"/>
    </row>
    <row r="75" spans="1:8" x14ac:dyDescent="0.25">
      <c r="C75" s="69"/>
      <c r="D75" s="70"/>
      <c r="E75" s="70"/>
      <c r="F75" s="70"/>
      <c r="G75" s="71"/>
      <c r="H75" s="72"/>
    </row>
    <row r="76" spans="1:8" x14ac:dyDescent="0.25">
      <c r="C76" s="69"/>
      <c r="D76" s="70"/>
      <c r="E76" s="70"/>
      <c r="F76" s="70"/>
      <c r="G76" s="71"/>
      <c r="H76" s="72"/>
    </row>
    <row r="77" spans="1:8" x14ac:dyDescent="0.25">
      <c r="C77" s="69"/>
      <c r="D77" s="70"/>
      <c r="E77" s="70"/>
      <c r="F77" s="70"/>
      <c r="G77" s="71"/>
      <c r="H77" s="72"/>
    </row>
    <row r="78" spans="1:8" x14ac:dyDescent="0.25">
      <c r="C78" s="69"/>
      <c r="D78" s="70"/>
      <c r="E78" s="70"/>
      <c r="F78" s="70"/>
      <c r="G78" s="71"/>
      <c r="H78" s="72"/>
    </row>
    <row r="79" spans="1:8" x14ac:dyDescent="0.25">
      <c r="C79" s="69"/>
      <c r="D79" s="70"/>
      <c r="E79" s="70"/>
      <c r="F79" s="70"/>
      <c r="G79" s="71"/>
      <c r="H79" s="72"/>
    </row>
    <row r="80" spans="1:8" x14ac:dyDescent="0.25">
      <c r="C80" s="69"/>
      <c r="D80" s="70"/>
      <c r="E80" s="70"/>
      <c r="F80" s="70"/>
      <c r="G80" s="71"/>
      <c r="H80" s="72"/>
    </row>
    <row r="81" spans="3:8" x14ac:dyDescent="0.25">
      <c r="C81" s="69"/>
      <c r="D81" s="70"/>
      <c r="E81" s="70"/>
      <c r="F81" s="70"/>
      <c r="G81" s="71"/>
      <c r="H81" s="72"/>
    </row>
    <row r="82" spans="3:8" x14ac:dyDescent="0.25">
      <c r="C82" s="69"/>
      <c r="D82" s="70"/>
      <c r="E82" s="70"/>
      <c r="F82" s="70"/>
      <c r="G82" s="71"/>
      <c r="H82" s="72"/>
    </row>
    <row r="83" spans="3:8" x14ac:dyDescent="0.25">
      <c r="C83" s="69"/>
      <c r="D83" s="70"/>
      <c r="E83" s="70"/>
      <c r="F83" s="70"/>
      <c r="G83" s="71"/>
      <c r="H83" s="72"/>
    </row>
    <row r="84" spans="3:8" x14ac:dyDescent="0.25">
      <c r="C84" s="69"/>
      <c r="D84" s="70"/>
      <c r="E84" s="70"/>
      <c r="F84" s="70"/>
      <c r="G84" s="71"/>
      <c r="H84" s="72"/>
    </row>
    <row r="85" spans="3:8" x14ac:dyDescent="0.25">
      <c r="C85" s="69"/>
      <c r="D85" s="70"/>
      <c r="E85" s="70"/>
      <c r="F85" s="70"/>
      <c r="G85" s="71"/>
      <c r="H85" s="72"/>
    </row>
    <row r="86" spans="3:8" x14ac:dyDescent="0.25">
      <c r="C86" s="69"/>
      <c r="D86" s="70"/>
      <c r="E86" s="70"/>
      <c r="F86" s="70"/>
      <c r="G86" s="71"/>
      <c r="H86" s="72"/>
    </row>
    <row r="87" spans="3:8" x14ac:dyDescent="0.25">
      <c r="C87" s="69"/>
      <c r="D87" s="70"/>
      <c r="E87" s="70"/>
      <c r="F87" s="70"/>
      <c r="G87" s="71"/>
      <c r="H87" s="72"/>
    </row>
    <row r="88" spans="3:8" x14ac:dyDescent="0.25">
      <c r="C88" s="69"/>
      <c r="D88" s="70"/>
      <c r="E88" s="70"/>
      <c r="F88" s="70"/>
      <c r="G88" s="71"/>
      <c r="H88" s="72"/>
    </row>
    <row r="89" spans="3:8" x14ac:dyDescent="0.25">
      <c r="C89" s="69"/>
      <c r="D89" s="70"/>
      <c r="E89" s="70"/>
      <c r="F89" s="70"/>
      <c r="G89" s="71"/>
      <c r="H89" s="72"/>
    </row>
    <row r="90" spans="3:8" x14ac:dyDescent="0.25">
      <c r="C90" s="69"/>
      <c r="D90" s="70"/>
      <c r="E90" s="70"/>
      <c r="F90" s="70"/>
      <c r="G90" s="71"/>
      <c r="H90" s="72"/>
    </row>
    <row r="91" spans="3:8" x14ac:dyDescent="0.25">
      <c r="C91" s="69"/>
      <c r="D91" s="70"/>
      <c r="E91" s="70"/>
      <c r="F91" s="70"/>
      <c r="G91" s="71"/>
      <c r="H91" s="72"/>
    </row>
    <row r="92" spans="3:8" x14ac:dyDescent="0.25">
      <c r="C92" s="69"/>
      <c r="D92" s="70"/>
      <c r="E92" s="70"/>
      <c r="F92" s="70"/>
      <c r="G92" s="71"/>
      <c r="H92" s="72"/>
    </row>
    <row r="93" spans="3:8" x14ac:dyDescent="0.25">
      <c r="C93" s="69"/>
      <c r="D93" s="70"/>
      <c r="E93" s="70"/>
      <c r="F93" s="70"/>
      <c r="G93" s="71"/>
      <c r="H93" s="72"/>
    </row>
    <row r="94" spans="3:8" x14ac:dyDescent="0.25">
      <c r="C94" s="69"/>
      <c r="D94" s="70"/>
      <c r="E94" s="70"/>
      <c r="F94" s="70"/>
      <c r="G94" s="71"/>
      <c r="H94" s="72"/>
    </row>
    <row r="95" spans="3:8" x14ac:dyDescent="0.25">
      <c r="C95" s="69"/>
      <c r="D95" s="70"/>
      <c r="E95" s="70"/>
      <c r="F95" s="70"/>
      <c r="G95" s="71"/>
      <c r="H95" s="72"/>
    </row>
    <row r="96" spans="3:8" x14ac:dyDescent="0.25">
      <c r="C96" s="69"/>
      <c r="D96" s="70"/>
      <c r="E96" s="70"/>
      <c r="F96" s="70"/>
      <c r="G96" s="71"/>
      <c r="H96" s="72"/>
    </row>
    <row r="97" spans="3:8" x14ac:dyDescent="0.25">
      <c r="C97" s="69"/>
      <c r="D97" s="70"/>
      <c r="E97" s="70"/>
      <c r="F97" s="70"/>
      <c r="G97" s="71"/>
      <c r="H97" s="72"/>
    </row>
    <row r="98" spans="3:8" x14ac:dyDescent="0.25">
      <c r="C98" s="69"/>
      <c r="D98" s="70"/>
      <c r="E98" s="70"/>
      <c r="F98" s="70"/>
      <c r="G98" s="71"/>
      <c r="H98" s="72"/>
    </row>
    <row r="99" spans="3:8" x14ac:dyDescent="0.25">
      <c r="C99" s="69"/>
      <c r="D99" s="70"/>
      <c r="E99" s="70"/>
      <c r="F99" s="70"/>
      <c r="G99" s="71"/>
      <c r="H99" s="72"/>
    </row>
    <row r="100" spans="3:8" x14ac:dyDescent="0.25">
      <c r="C100" s="69"/>
      <c r="D100" s="70"/>
      <c r="E100" s="70"/>
      <c r="F100" s="70"/>
      <c r="G100" s="71"/>
      <c r="H100" s="72"/>
    </row>
    <row r="101" spans="3:8" x14ac:dyDescent="0.25">
      <c r="C101" s="69"/>
      <c r="D101" s="70"/>
      <c r="E101" s="70"/>
      <c r="F101" s="70"/>
      <c r="G101" s="71"/>
      <c r="H101" s="72"/>
    </row>
    <row r="102" spans="3:8" x14ac:dyDescent="0.25">
      <c r="C102" s="69"/>
      <c r="D102" s="70"/>
      <c r="E102" s="70"/>
      <c r="F102" s="70"/>
      <c r="G102" s="71"/>
      <c r="H102" s="72"/>
    </row>
    <row r="103" spans="3:8" x14ac:dyDescent="0.25">
      <c r="C103" s="69"/>
      <c r="D103" s="70"/>
      <c r="E103" s="70"/>
      <c r="F103" s="70"/>
      <c r="G103" s="71"/>
      <c r="H103" s="72"/>
    </row>
    <row r="104" spans="3:8" x14ac:dyDescent="0.25">
      <c r="C104" s="69"/>
      <c r="D104" s="70"/>
      <c r="E104" s="70"/>
      <c r="F104" s="70"/>
      <c r="G104" s="71"/>
      <c r="H104" s="72"/>
    </row>
    <row r="105" spans="3:8" x14ac:dyDescent="0.25">
      <c r="C105" s="69"/>
      <c r="D105" s="70"/>
      <c r="E105" s="70"/>
      <c r="F105" s="70"/>
      <c r="G105" s="71"/>
      <c r="H105" s="72"/>
    </row>
    <row r="106" spans="3:8" x14ac:dyDescent="0.25">
      <c r="C106" s="69"/>
      <c r="D106" s="70"/>
      <c r="E106" s="70"/>
      <c r="F106" s="70"/>
      <c r="G106" s="71"/>
      <c r="H106" s="72"/>
    </row>
    <row r="107" spans="3:8" x14ac:dyDescent="0.25">
      <c r="C107" s="69"/>
      <c r="D107" s="70"/>
      <c r="E107" s="70"/>
      <c r="F107" s="70"/>
      <c r="G107" s="71"/>
      <c r="H107" s="72"/>
    </row>
    <row r="108" spans="3:8" x14ac:dyDescent="0.25">
      <c r="C108" s="69"/>
      <c r="D108" s="70"/>
      <c r="E108" s="70"/>
      <c r="F108" s="70"/>
      <c r="G108" s="71"/>
      <c r="H108" s="72"/>
    </row>
  </sheetData>
  <sheetProtection sheet="1" objects="1" scenarios="1" selectLockedCells="1"/>
  <dataValidations count="5">
    <dataValidation type="date" allowBlank="1" showErrorMessage="1" errorTitle="Data fora do ano-calendário" error="A data deve estar dentro do ano-calendário (aba AJUSTES)." sqref="C9:C108" xr:uid="{00000000-0002-0000-0400-000000000000}">
      <formula1>DATE(p_ano,1,1)</formula1>
      <formula2>DATE(p_ano,12,31)</formula2>
    </dataValidation>
    <dataValidation type="list" allowBlank="1" showErrorMessage="1" errorTitle="Tipo inválido" error="Escolha um tipo da lista." sqref="D9:D108" xr:uid="{00000000-0002-0000-0400-000001000000}">
      <formula1>lst_tiposded</formula1>
    </dataValidation>
    <dataValidation type="list" allowBlank="1" showErrorMessage="1" errorTitle="Beneficiário inválido" error="Escolha o beneficiário na lista." sqref="E9:E108" xr:uid="{00000000-0002-0000-0400-000002000000}">
      <formula1>lst_benef</formula1>
    </dataValidation>
    <dataValidation type="custom" allowBlank="1" showErrorMessage="1" errorTitle="Documento inválido" error="Informe CPF (11 dígitos) ou CNPJ (14 dígitos), somente números." sqref="G9:G108" xr:uid="{00000000-0002-0000-0400-000003000000}">
      <formula1>AND(ISNUMBER(VALUE(G9)),OR(LEN(G9)=11,LEN(G9)=14))</formula1>
    </dataValidation>
    <dataValidation type="decimal" allowBlank="1" showErrorMessage="1" errorTitle="Valor inválido" error="Informe um valor positivo." sqref="H9:H108" xr:uid="{00000000-0002-0000-0400-000004000000}">
      <formula1>0.01</formula1>
      <formula2>999999999</formula2>
    </dataValidation>
  </dataValidation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A4A5C"/>
    <pageSetUpPr fitToPage="1"/>
  </sheetPr>
  <dimension ref="A1:F74"/>
  <sheetViews>
    <sheetView showGridLines="0" showRowColHeaders="0" workbookViewId="0">
      <selection activeCell="A15" sqref="A15"/>
    </sheetView>
  </sheetViews>
  <sheetFormatPr defaultColWidth="0" defaultRowHeight="15" x14ac:dyDescent="0.25"/>
  <cols>
    <col min="1" max="1" width="26" customWidth="1"/>
    <col min="2" max="2" width="3" customWidth="1"/>
    <col min="3" max="3" width="52" customWidth="1"/>
    <col min="4" max="4" width="24" customWidth="1"/>
    <col min="5" max="5" width="46" customWidth="1"/>
    <col min="6" max="6" width="16" customWidth="1"/>
    <col min="7" max="7" width="9.140625" customWidth="1"/>
    <col min="8" max="16384" width="9.140625" hidden="1"/>
  </cols>
  <sheetData>
    <row r="1" spans="1:6" ht="21.95" customHeight="1" x14ac:dyDescent="0.25">
      <c r="A1" s="1"/>
    </row>
    <row r="2" spans="1:6" ht="27.95" customHeight="1" x14ac:dyDescent="0.25">
      <c r="A2" s="2" t="s">
        <v>0</v>
      </c>
    </row>
    <row r="3" spans="1:6" ht="27.95" customHeight="1" x14ac:dyDescent="0.25">
      <c r="A3" s="1"/>
      <c r="C3" s="9" t="s">
        <v>101</v>
      </c>
    </row>
    <row r="4" spans="1:6" ht="21.95" customHeight="1" x14ac:dyDescent="0.25">
      <c r="A4" s="1"/>
      <c r="C4" s="5" t="s">
        <v>102</v>
      </c>
    </row>
    <row r="5" spans="1:6" ht="21.95" customHeight="1" x14ac:dyDescent="0.25">
      <c r="A5" s="1"/>
      <c r="C5" s="61" t="s">
        <v>12</v>
      </c>
      <c r="D5" s="62" t="s">
        <v>13</v>
      </c>
    </row>
    <row r="6" spans="1:6" ht="21.95" customHeight="1" x14ac:dyDescent="0.25">
      <c r="A6" s="1"/>
    </row>
    <row r="7" spans="1:6" ht="21.95" customHeight="1" x14ac:dyDescent="0.25">
      <c r="A7" s="1"/>
      <c r="C7" s="17" t="s">
        <v>103</v>
      </c>
      <c r="D7" s="17" t="s">
        <v>104</v>
      </c>
      <c r="E7" s="17" t="s">
        <v>105</v>
      </c>
    </row>
    <row r="8" spans="1:6" ht="21.95" customHeight="1" x14ac:dyDescent="0.25">
      <c r="A8" s="1"/>
      <c r="C8" s="28" t="s">
        <v>106</v>
      </c>
      <c r="D8" s="29">
        <f>SUMIF(NOTAS!$G$9:$G$208,"Tributável",NOTAS!$F$9:$F$208)</f>
        <v>36000</v>
      </c>
      <c r="E8" s="33" t="s">
        <v>107</v>
      </c>
    </row>
    <row r="9" spans="1:6" ht="21.95" customHeight="1" x14ac:dyDescent="0.25">
      <c r="A9" s="1"/>
      <c r="C9" s="28" t="s">
        <v>108</v>
      </c>
      <c r="D9" s="29">
        <f>SUMIF(NOTAS!$G$9:$G$208,"Isento / não tributável",NOTAS!$F$9:$F$208)</f>
        <v>1400</v>
      </c>
      <c r="E9" s="33" t="s">
        <v>109</v>
      </c>
    </row>
    <row r="10" spans="1:6" ht="21.95" customHeight="1" x14ac:dyDescent="0.25">
      <c r="A10" s="1"/>
      <c r="C10" s="28" t="s">
        <v>110</v>
      </c>
      <c r="D10" s="29">
        <f>SUMIF(NOTAS!$G$9:$G$208,"Exclusivo na fonte",NOTAS!$F$9:$F$208)</f>
        <v>4250</v>
      </c>
      <c r="E10" s="33" t="s">
        <v>111</v>
      </c>
    </row>
    <row r="11" spans="1:6" ht="21.95" customHeight="1" x14ac:dyDescent="0.25">
      <c r="A11" s="93" t="str">
        <f>HYPERLINK("#'INÍCIO'!A1","   INÍCIO")</f>
        <v xml:space="preserve">   INÍCIO</v>
      </c>
      <c r="C11" s="31" t="s">
        <v>112</v>
      </c>
      <c r="D11" s="32">
        <f>SUM(D8:D10)</f>
        <v>41650</v>
      </c>
    </row>
    <row r="12" spans="1:6" ht="21.95" customHeight="1" x14ac:dyDescent="0.25">
      <c r="A12" s="93" t="str">
        <f>HYPERLINK("#'TITULAR'!A1","   TITULAR")</f>
        <v xml:space="preserve">   TITULAR</v>
      </c>
      <c r="C12" s="28" t="s">
        <v>113</v>
      </c>
      <c r="D12" s="29">
        <f>INFORMES!E17</f>
        <v>665000</v>
      </c>
      <c r="E12" s="33" t="s">
        <v>114</v>
      </c>
    </row>
    <row r="13" spans="1:6" ht="21.95" customHeight="1" x14ac:dyDescent="0.25">
      <c r="A13" s="93" t="str">
        <f>HYPERLINK("#'INFORMES'!A1","   INFORMES")</f>
        <v xml:space="preserve">   INFORMES</v>
      </c>
    </row>
    <row r="14" spans="1:6" ht="21.95" customHeight="1" x14ac:dyDescent="0.25">
      <c r="A14" s="93" t="str">
        <f>HYPERLINK("#'NOTAS'!A1","   NOTAS")</f>
        <v xml:space="preserve">   NOTAS</v>
      </c>
      <c r="C14" s="17" t="s">
        <v>115</v>
      </c>
      <c r="D14" s="17" t="s">
        <v>116</v>
      </c>
      <c r="E14" s="17" t="s">
        <v>117</v>
      </c>
      <c r="F14" s="17" t="s">
        <v>118</v>
      </c>
    </row>
    <row r="15" spans="1:6" ht="21.95" customHeight="1" x14ac:dyDescent="0.25">
      <c r="A15" s="93" t="str">
        <f>HYPERLINK("#'DEDUÇÕES'!A1","   DEDUÇÕES")</f>
        <v xml:space="preserve">   DEDUÇÕES</v>
      </c>
      <c r="C15" s="28" t="s">
        <v>119</v>
      </c>
      <c r="D15" s="29">
        <f>r_trib</f>
        <v>36000</v>
      </c>
      <c r="E15" s="29">
        <f>p_limite_trib</f>
        <v>35584</v>
      </c>
      <c r="F15" s="34" t="str">
        <f>IF(D15&gt;E15,"SIM","NÃO")</f>
        <v>SIM</v>
      </c>
    </row>
    <row r="16" spans="1:6" ht="21.95" customHeight="1" x14ac:dyDescent="0.25">
      <c r="A16" s="94" t="str">
        <f>HYPERLINK("#'RESUMO'!A1","   RESUMO")</f>
        <v xml:space="preserve">   RESUMO</v>
      </c>
      <c r="C16" s="28" t="s">
        <v>120</v>
      </c>
      <c r="D16" s="29">
        <f>r_isento+r_exclusivo</f>
        <v>5650</v>
      </c>
      <c r="E16" s="29">
        <f>p_limite_isento</f>
        <v>200000</v>
      </c>
      <c r="F16" s="34" t="str">
        <f>IF(D16&gt;E16,"SIM","NÃO")</f>
        <v>NÃO</v>
      </c>
    </row>
    <row r="17" spans="1:6" ht="21.95" customHeight="1" x14ac:dyDescent="0.25">
      <c r="A17" s="93" t="str">
        <f>HYPERLINK("#'CHECKLIST'!A1","   CHECKLIST")</f>
        <v xml:space="preserve">   CHECKLIST</v>
      </c>
      <c r="C17" s="28" t="s">
        <v>121</v>
      </c>
      <c r="D17" s="29">
        <f>D12</f>
        <v>665000</v>
      </c>
      <c r="E17" s="29">
        <f>p_limite_bens</f>
        <v>800000</v>
      </c>
      <c r="F17" s="34" t="str">
        <f>IF(D17&gt;E17,"SIM","NÃO")</f>
        <v>NÃO</v>
      </c>
    </row>
    <row r="18" spans="1:6" ht="21.95" customHeight="1" x14ac:dyDescent="0.25">
      <c r="A18" s="93" t="str">
        <f>HYPERLINK("#'AJUSTES'!A1","   AJUSTES")</f>
        <v xml:space="preserve">   AJUSTES</v>
      </c>
      <c r="C18" s="28" t="s">
        <v>122</v>
      </c>
      <c r="D18" s="66" t="s">
        <v>31</v>
      </c>
      <c r="E18" s="35" t="s">
        <v>123</v>
      </c>
      <c r="F18" s="34" t="str">
        <f>IF(D18="SIM","SIM","NÃO")</f>
        <v>NÃO</v>
      </c>
    </row>
    <row r="19" spans="1:6" ht="21.95" customHeight="1" x14ac:dyDescent="0.25">
      <c r="A19" s="1"/>
      <c r="C19" s="28" t="s">
        <v>124</v>
      </c>
      <c r="D19" s="66" t="s">
        <v>31</v>
      </c>
      <c r="E19" s="35" t="s">
        <v>123</v>
      </c>
      <c r="F19" s="34" t="str">
        <f>IF(OR(D19="SIM",TITULAR!D20="SIM"),"SIM","NÃO")</f>
        <v>NÃO</v>
      </c>
    </row>
    <row r="20" spans="1:6" ht="21.95" customHeight="1" x14ac:dyDescent="0.25">
      <c r="A20" s="1"/>
      <c r="C20" s="36" t="s">
        <v>125</v>
      </c>
      <c r="D20" s="59" t="str">
        <f>IF(COUNTIF(F15:F19,"SIM")&gt;0,"OBRIGADO A DECLARAR","NÃO OBRIGADO (confirme)")</f>
        <v>OBRIGADO A DECLARAR</v>
      </c>
      <c r="E20" s="44"/>
      <c r="F20" s="44"/>
    </row>
    <row r="21" spans="1:6" ht="21.95" customHeight="1" x14ac:dyDescent="0.25">
      <c r="A21" s="6" t="s">
        <v>9</v>
      </c>
    </row>
    <row r="22" spans="1:6" ht="21.95" customHeight="1" x14ac:dyDescent="0.25">
      <c r="A22" s="7" t="s">
        <v>277</v>
      </c>
      <c r="C22" s="17" t="s">
        <v>126</v>
      </c>
      <c r="D22" s="17" t="s">
        <v>127</v>
      </c>
      <c r="E22" s="17" t="s">
        <v>128</v>
      </c>
    </row>
    <row r="23" spans="1:6" ht="21.95" customHeight="1" x14ac:dyDescent="0.25">
      <c r="A23" s="1"/>
      <c r="C23" s="28" t="s">
        <v>106</v>
      </c>
      <c r="D23" s="29">
        <f>r_trib</f>
        <v>36000</v>
      </c>
      <c r="E23" s="29">
        <f>r_trib</f>
        <v>36000</v>
      </c>
    </row>
    <row r="24" spans="1:6" ht="21.95" customHeight="1" x14ac:dyDescent="0.25">
      <c r="A24" s="1"/>
      <c r="C24" s="28" t="s">
        <v>129</v>
      </c>
      <c r="D24" s="29">
        <f>DEDUÇÕES!L15</f>
        <v>12561.5</v>
      </c>
      <c r="E24" s="29">
        <f>MIN(p_simpl_pct*r_trib,p_simpl_max)</f>
        <v>7200</v>
      </c>
    </row>
    <row r="25" spans="1:6" ht="21.95" customHeight="1" x14ac:dyDescent="0.25">
      <c r="A25" s="1"/>
      <c r="C25" s="31" t="s">
        <v>130</v>
      </c>
      <c r="D25" s="32">
        <f>MAX(0,D23-D24)</f>
        <v>23438.5</v>
      </c>
      <c r="E25" s="32">
        <f>MAX(0,E23-E24)</f>
        <v>28800</v>
      </c>
    </row>
    <row r="26" spans="1:6" ht="21.95" customHeight="1" x14ac:dyDescent="0.25">
      <c r="A26" s="1"/>
      <c r="C26" s="28" t="s">
        <v>131</v>
      </c>
      <c r="D26" s="29">
        <f>ABS(D24-E24)</f>
        <v>5361.5</v>
      </c>
    </row>
    <row r="27" spans="1:6" ht="21.95" customHeight="1" x14ac:dyDescent="0.25">
      <c r="A27" s="1"/>
    </row>
    <row r="28" spans="1:6" ht="21.95" customHeight="1" x14ac:dyDescent="0.25">
      <c r="A28" s="1"/>
      <c r="C28" s="36" t="s">
        <v>132</v>
      </c>
      <c r="D28" s="37" t="str">
        <f>IF(D24&gt;E24,"COMPLETA","SIMPLIFICADA")</f>
        <v>COMPLETA</v>
      </c>
    </row>
    <row r="29" spans="1:6" ht="21.95" customHeight="1" x14ac:dyDescent="0.25">
      <c r="A29" s="1"/>
    </row>
    <row r="30" spans="1:6" ht="21.95" customHeight="1" x14ac:dyDescent="0.25">
      <c r="A30" s="1"/>
      <c r="C30" s="60" t="s">
        <v>133</v>
      </c>
      <c r="D30" s="44"/>
      <c r="E30" s="44"/>
      <c r="F30" s="44"/>
    </row>
    <row r="31" spans="1:6" ht="21.95" customHeight="1" x14ac:dyDescent="0.25">
      <c r="A31" s="1"/>
      <c r="C31" s="44"/>
      <c r="D31" s="44"/>
      <c r="E31" s="44"/>
      <c r="F31" s="44"/>
    </row>
    <row r="32" spans="1:6" ht="21.95" customHeight="1" x14ac:dyDescent="0.25">
      <c r="A32" s="1"/>
    </row>
    <row r="33" spans="1:1" ht="21.95" customHeight="1" x14ac:dyDescent="0.25">
      <c r="A33" s="1"/>
    </row>
    <row r="34" spans="1:1" ht="21.95" customHeight="1" x14ac:dyDescent="0.25">
      <c r="A34" s="1"/>
    </row>
    <row r="35" spans="1:1" ht="21.95" customHeight="1" x14ac:dyDescent="0.25">
      <c r="A35" s="1"/>
    </row>
    <row r="36" spans="1:1" ht="21.95" customHeight="1" x14ac:dyDescent="0.25">
      <c r="A36" s="1"/>
    </row>
    <row r="37" spans="1:1" ht="21.95" customHeight="1" x14ac:dyDescent="0.25">
      <c r="A37" s="1"/>
    </row>
    <row r="38" spans="1:1" ht="21.95" customHeight="1" x14ac:dyDescent="0.25">
      <c r="A38" s="1"/>
    </row>
    <row r="39" spans="1:1" ht="21.95" customHeight="1" x14ac:dyDescent="0.25">
      <c r="A39" s="1"/>
    </row>
    <row r="40" spans="1:1" ht="21.95" customHeight="1" x14ac:dyDescent="0.25">
      <c r="A40" s="1"/>
    </row>
    <row r="41" spans="1:1" ht="21.95" customHeight="1" x14ac:dyDescent="0.25">
      <c r="A41" s="1"/>
    </row>
    <row r="42" spans="1:1" ht="21.95" customHeight="1" x14ac:dyDescent="0.25">
      <c r="A42" s="1"/>
    </row>
    <row r="43" spans="1:1" ht="21.95" customHeight="1" x14ac:dyDescent="0.25">
      <c r="A43" s="1"/>
    </row>
    <row r="44" spans="1:1" ht="21.95" customHeight="1" x14ac:dyDescent="0.25">
      <c r="A44" s="1"/>
    </row>
    <row r="45" spans="1:1" ht="21.95" customHeight="1" x14ac:dyDescent="0.25">
      <c r="A45" s="1"/>
    </row>
    <row r="46" spans="1:1" ht="21.95" customHeight="1" x14ac:dyDescent="0.25">
      <c r="A46" s="1"/>
    </row>
    <row r="47" spans="1:1" ht="21.95" customHeight="1" x14ac:dyDescent="0.25">
      <c r="A47" s="1"/>
    </row>
    <row r="48" spans="1:1" ht="21.95" customHeight="1" x14ac:dyDescent="0.25">
      <c r="A48" s="1"/>
    </row>
    <row r="49" spans="1:1" ht="21.95" customHeight="1" x14ac:dyDescent="0.25">
      <c r="A49" s="1"/>
    </row>
    <row r="50" spans="1:1" ht="21.95" customHeight="1" x14ac:dyDescent="0.25">
      <c r="A50" s="1"/>
    </row>
    <row r="51" spans="1:1" ht="21.95" customHeight="1" x14ac:dyDescent="0.25">
      <c r="A51" s="1"/>
    </row>
    <row r="52" spans="1:1" ht="21.95" customHeight="1" x14ac:dyDescent="0.25">
      <c r="A52" s="1"/>
    </row>
    <row r="53" spans="1:1" ht="21.95" customHeight="1" x14ac:dyDescent="0.25">
      <c r="A53" s="1"/>
    </row>
    <row r="54" spans="1:1" ht="21.95" customHeight="1" x14ac:dyDescent="0.25">
      <c r="A54" s="1"/>
    </row>
    <row r="55" spans="1:1" ht="21.95" customHeight="1" x14ac:dyDescent="0.25">
      <c r="A55" s="1"/>
    </row>
    <row r="56" spans="1:1" ht="21.95" customHeight="1" x14ac:dyDescent="0.25">
      <c r="A56" s="1"/>
    </row>
    <row r="57" spans="1:1" ht="21.95" customHeight="1" x14ac:dyDescent="0.25">
      <c r="A57" s="1"/>
    </row>
    <row r="58" spans="1:1" ht="21.95" customHeight="1" x14ac:dyDescent="0.25">
      <c r="A58" s="1"/>
    </row>
    <row r="59" spans="1:1" ht="21.95" customHeight="1" x14ac:dyDescent="0.25">
      <c r="A59" s="1"/>
    </row>
    <row r="60" spans="1:1" ht="21.95" customHeight="1" x14ac:dyDescent="0.25">
      <c r="A60" s="1"/>
    </row>
    <row r="61" spans="1:1" ht="21.95" customHeight="1" x14ac:dyDescent="0.25">
      <c r="A61" s="1"/>
    </row>
    <row r="62" spans="1:1" ht="21.95" customHeight="1" x14ac:dyDescent="0.25">
      <c r="A62" s="1"/>
    </row>
    <row r="63" spans="1:1" ht="21.95" customHeight="1" x14ac:dyDescent="0.25">
      <c r="A63" s="1"/>
    </row>
    <row r="64" spans="1:1" ht="21.95" customHeight="1" x14ac:dyDescent="0.25">
      <c r="A64" s="1"/>
    </row>
    <row r="65" spans="1:1" ht="21.95" customHeight="1" x14ac:dyDescent="0.25">
      <c r="A65" s="1"/>
    </row>
    <row r="66" spans="1:1" ht="21.95" customHeight="1" x14ac:dyDescent="0.25">
      <c r="A66" s="1"/>
    </row>
    <row r="67" spans="1:1" ht="21.95" customHeight="1" x14ac:dyDescent="0.25">
      <c r="A67" s="1"/>
    </row>
    <row r="68" spans="1:1" ht="21.95" customHeight="1" x14ac:dyDescent="0.25">
      <c r="A68" s="1"/>
    </row>
    <row r="69" spans="1:1" ht="21.95" customHeight="1" x14ac:dyDescent="0.25">
      <c r="A69" s="1"/>
    </row>
    <row r="70" spans="1:1" ht="21.95" customHeight="1" x14ac:dyDescent="0.25">
      <c r="A70" s="1"/>
    </row>
    <row r="71" spans="1:1" ht="21.95" customHeight="1" x14ac:dyDescent="0.25">
      <c r="A71" s="1"/>
    </row>
    <row r="72" spans="1:1" ht="21.95" customHeight="1" x14ac:dyDescent="0.25">
      <c r="A72" s="1"/>
    </row>
    <row r="73" spans="1:1" ht="21.95" customHeight="1" x14ac:dyDescent="0.25">
      <c r="A73" s="1"/>
    </row>
    <row r="74" spans="1:1" ht="21.95" customHeight="1" x14ac:dyDescent="0.25">
      <c r="A74" s="1"/>
    </row>
  </sheetData>
  <sheetProtection sheet="1" objects="1" scenarios="1" selectLockedCells="1"/>
  <mergeCells count="2">
    <mergeCell ref="D20:F20"/>
    <mergeCell ref="C30:F31"/>
  </mergeCells>
  <conditionalFormatting sqref="F15:F19">
    <cfRule type="expression" dxfId="16" priority="1">
      <formula>F15="SIM"</formula>
    </cfRule>
  </conditionalFormatting>
  <dataValidations count="1">
    <dataValidation type="list" allowBlank="1" showErrorMessage="1" errorTitle="Opção inválida" error="Escolha SIM ou NÃO." sqref="D18:D19" xr:uid="{00000000-0002-0000-0500-000000000000}">
      <formula1>lst_simnao</formula1>
    </dataValidation>
  </dataValidations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A4A5C"/>
    <pageSetUpPr fitToPage="1"/>
  </sheetPr>
  <dimension ref="A1:H74"/>
  <sheetViews>
    <sheetView showGridLines="0" showRowColHeaders="0" workbookViewId="0">
      <selection activeCell="A16" sqref="A16"/>
    </sheetView>
  </sheetViews>
  <sheetFormatPr defaultColWidth="0" defaultRowHeight="15" x14ac:dyDescent="0.25"/>
  <cols>
    <col min="1" max="1" width="26" customWidth="1"/>
    <col min="2" max="2" width="3" customWidth="1"/>
    <col min="3" max="3" width="6" customWidth="1"/>
    <col min="4" max="4" width="46" customWidth="1"/>
    <col min="5" max="5" width="36" customWidth="1"/>
    <col min="6" max="6" width="16" customWidth="1"/>
    <col min="7" max="7" width="18" customWidth="1"/>
    <col min="8" max="8" width="32" customWidth="1"/>
    <col min="9" max="9" width="9.140625" customWidth="1"/>
    <col min="10" max="16384" width="9.140625" hidden="1"/>
  </cols>
  <sheetData>
    <row r="1" spans="1:8" ht="21.95" customHeight="1" x14ac:dyDescent="0.25">
      <c r="A1" s="1"/>
    </row>
    <row r="2" spans="1:8" ht="27.95" customHeight="1" x14ac:dyDescent="0.25">
      <c r="A2" s="2" t="s">
        <v>0</v>
      </c>
    </row>
    <row r="3" spans="1:8" ht="27.95" customHeight="1" x14ac:dyDescent="0.25">
      <c r="A3" s="1"/>
      <c r="C3" s="9" t="s">
        <v>134</v>
      </c>
    </row>
    <row r="4" spans="1:8" ht="21.95" customHeight="1" x14ac:dyDescent="0.25">
      <c r="A4" s="1"/>
      <c r="C4" s="5" t="s">
        <v>135</v>
      </c>
    </row>
    <row r="5" spans="1:8" ht="21.95" customHeight="1" x14ac:dyDescent="0.25">
      <c r="A5" s="1"/>
      <c r="D5" s="61" t="s">
        <v>12</v>
      </c>
      <c r="E5" s="62" t="s">
        <v>13</v>
      </c>
    </row>
    <row r="6" spans="1:8" ht="21.95" customHeight="1" x14ac:dyDescent="0.25">
      <c r="A6" s="1"/>
      <c r="D6" s="16">
        <f>COUNTIF(G9:G22,"Concluído")/COUNTA(D9:D22)</f>
        <v>0.14285714285714285</v>
      </c>
      <c r="E6" s="27" t="s">
        <v>136</v>
      </c>
    </row>
    <row r="7" spans="1:8" ht="21.95" customHeight="1" x14ac:dyDescent="0.25">
      <c r="A7" s="1"/>
    </row>
    <row r="8" spans="1:8" ht="21.95" customHeight="1" x14ac:dyDescent="0.25">
      <c r="A8" s="1"/>
      <c r="C8" s="17" t="s">
        <v>38</v>
      </c>
      <c r="D8" s="17" t="s">
        <v>137</v>
      </c>
      <c r="E8" s="17" t="s">
        <v>138</v>
      </c>
      <c r="F8" s="17" t="s">
        <v>42</v>
      </c>
      <c r="G8" s="17" t="s">
        <v>44</v>
      </c>
      <c r="H8" s="17" t="s">
        <v>139</v>
      </c>
    </row>
    <row r="9" spans="1:8" ht="21.95" customHeight="1" x14ac:dyDescent="0.25">
      <c r="A9" s="1"/>
      <c r="C9" s="18">
        <v>1</v>
      </c>
      <c r="D9" s="28" t="s">
        <v>140</v>
      </c>
      <c r="E9" s="38" t="s">
        <v>141</v>
      </c>
      <c r="F9" s="28"/>
      <c r="G9" s="66" t="s">
        <v>142</v>
      </c>
      <c r="H9" s="67"/>
    </row>
    <row r="10" spans="1:8" ht="21.95" customHeight="1" x14ac:dyDescent="0.25">
      <c r="A10" s="1"/>
      <c r="C10" s="18">
        <v>2</v>
      </c>
      <c r="D10" s="28" t="s">
        <v>143</v>
      </c>
      <c r="E10" s="38" t="s">
        <v>144</v>
      </c>
      <c r="F10" s="28"/>
      <c r="G10" s="66" t="s">
        <v>142</v>
      </c>
      <c r="H10" s="67"/>
    </row>
    <row r="11" spans="1:8" ht="21.95" customHeight="1" x14ac:dyDescent="0.25">
      <c r="A11" s="93" t="str">
        <f>HYPERLINK("#'INÍCIO'!A1","   INÍCIO")</f>
        <v xml:space="preserve">   INÍCIO</v>
      </c>
      <c r="C11" s="18">
        <v>3</v>
      </c>
      <c r="D11" s="28" t="s">
        <v>145</v>
      </c>
      <c r="E11" s="38" t="s">
        <v>146</v>
      </c>
      <c r="F11" s="19" t="str">
        <f>HYPERLINK("https://www.bcb.gov.br/meubc/registrato","🔗 abrir site")</f>
        <v>🔗 abrir site</v>
      </c>
      <c r="G11" s="66" t="s">
        <v>147</v>
      </c>
      <c r="H11" s="67"/>
    </row>
    <row r="12" spans="1:8" ht="21.95" customHeight="1" x14ac:dyDescent="0.25">
      <c r="A12" s="93" t="str">
        <f>HYPERLINK("#'TITULAR'!A1","   TITULAR")</f>
        <v xml:space="preserve">   TITULAR</v>
      </c>
      <c r="C12" s="18">
        <v>4</v>
      </c>
      <c r="D12" s="28" t="s">
        <v>148</v>
      </c>
      <c r="E12" s="38" t="s">
        <v>149</v>
      </c>
      <c r="F12" s="19" t="str">
        <f>HYPERLINK("https://www.investidor.b3.com.br","🔗 abrir site")</f>
        <v>🔗 abrir site</v>
      </c>
      <c r="G12" s="66" t="s">
        <v>150</v>
      </c>
      <c r="H12" s="67"/>
    </row>
    <row r="13" spans="1:8" ht="21.95" customHeight="1" x14ac:dyDescent="0.25">
      <c r="A13" s="93" t="str">
        <f>HYPERLINK("#'INFORMES'!A1","   INFORMES")</f>
        <v xml:space="preserve">   INFORMES</v>
      </c>
      <c r="C13" s="18">
        <v>5</v>
      </c>
      <c r="D13" s="28" t="s">
        <v>151</v>
      </c>
      <c r="E13" s="38" t="s">
        <v>152</v>
      </c>
      <c r="F13" s="28"/>
      <c r="G13" s="66" t="s">
        <v>150</v>
      </c>
      <c r="H13" s="67"/>
    </row>
    <row r="14" spans="1:8" ht="21.95" customHeight="1" x14ac:dyDescent="0.25">
      <c r="A14" s="93" t="str">
        <f>HYPERLINK("#'NOTAS'!A1","   NOTAS")</f>
        <v xml:space="preserve">   NOTAS</v>
      </c>
      <c r="C14" s="18">
        <v>6</v>
      </c>
      <c r="D14" s="28" t="s">
        <v>153</v>
      </c>
      <c r="E14" s="38" t="s">
        <v>154</v>
      </c>
      <c r="F14" s="28"/>
      <c r="G14" s="66" t="s">
        <v>150</v>
      </c>
      <c r="H14" s="67"/>
    </row>
    <row r="15" spans="1:8" ht="21.95" customHeight="1" x14ac:dyDescent="0.25">
      <c r="A15" s="93" t="str">
        <f>HYPERLINK("#'DEDUÇÕES'!A1","   DEDUÇÕES")</f>
        <v xml:space="preserve">   DEDUÇÕES</v>
      </c>
      <c r="C15" s="18">
        <v>7</v>
      </c>
      <c r="D15" s="28" t="s">
        <v>155</v>
      </c>
      <c r="E15" s="38" t="s">
        <v>156</v>
      </c>
      <c r="F15" s="28"/>
      <c r="G15" s="66" t="s">
        <v>150</v>
      </c>
      <c r="H15" s="67"/>
    </row>
    <row r="16" spans="1:8" ht="21.95" customHeight="1" x14ac:dyDescent="0.25">
      <c r="A16" s="93" t="str">
        <f>HYPERLINK("#'RESUMO'!A1","   RESUMO")</f>
        <v xml:space="preserve">   RESUMO</v>
      </c>
      <c r="C16" s="18">
        <v>8</v>
      </c>
      <c r="D16" s="28" t="s">
        <v>157</v>
      </c>
      <c r="E16" s="38" t="s">
        <v>158</v>
      </c>
      <c r="F16" s="28"/>
      <c r="G16" s="66" t="s">
        <v>150</v>
      </c>
      <c r="H16" s="67"/>
    </row>
    <row r="17" spans="1:8" ht="21.95" customHeight="1" x14ac:dyDescent="0.25">
      <c r="A17" s="94" t="str">
        <f>HYPERLINK("#'CHECKLIST'!A1","   CHECKLIST")</f>
        <v xml:space="preserve">   CHECKLIST</v>
      </c>
      <c r="C17" s="18">
        <v>9</v>
      </c>
      <c r="D17" s="28" t="s">
        <v>159</v>
      </c>
      <c r="E17" s="38" t="s">
        <v>160</v>
      </c>
      <c r="F17" s="28"/>
      <c r="G17" s="66" t="s">
        <v>150</v>
      </c>
      <c r="H17" s="67"/>
    </row>
    <row r="18" spans="1:8" ht="21.95" customHeight="1" x14ac:dyDescent="0.25">
      <c r="A18" s="93" t="str">
        <f>HYPERLINK("#'AJUSTES'!A1","   AJUSTES")</f>
        <v xml:space="preserve">   AJUSTES</v>
      </c>
      <c r="C18" s="18">
        <v>10</v>
      </c>
      <c r="D18" s="28" t="s">
        <v>161</v>
      </c>
      <c r="E18" s="38" t="s">
        <v>162</v>
      </c>
      <c r="F18" s="28"/>
      <c r="G18" s="66" t="s">
        <v>150</v>
      </c>
      <c r="H18" s="67"/>
    </row>
    <row r="19" spans="1:8" ht="21.95" customHeight="1" x14ac:dyDescent="0.25">
      <c r="A19" s="1"/>
      <c r="C19" s="18">
        <v>11</v>
      </c>
      <c r="D19" s="28" t="s">
        <v>163</v>
      </c>
      <c r="E19" s="38" t="s">
        <v>164</v>
      </c>
      <c r="F19" s="28"/>
      <c r="G19" s="66" t="s">
        <v>150</v>
      </c>
      <c r="H19" s="67"/>
    </row>
    <row r="20" spans="1:8" ht="21.95" customHeight="1" x14ac:dyDescent="0.25">
      <c r="A20" s="1"/>
      <c r="C20" s="18">
        <v>12</v>
      </c>
      <c r="D20" s="28" t="s">
        <v>165</v>
      </c>
      <c r="E20" s="38" t="s">
        <v>166</v>
      </c>
      <c r="F20" s="19" t="str">
        <f>HYPERLINK("https://cav.receita.fazenda.gov.br/autenticacao/login","🔗 abrir site")</f>
        <v>🔗 abrir site</v>
      </c>
      <c r="G20" s="66" t="s">
        <v>150</v>
      </c>
      <c r="H20" s="67"/>
    </row>
    <row r="21" spans="1:8" ht="21.95" customHeight="1" x14ac:dyDescent="0.25">
      <c r="A21" s="6" t="s">
        <v>9</v>
      </c>
      <c r="C21" s="18">
        <v>13</v>
      </c>
      <c r="D21" s="28" t="s">
        <v>167</v>
      </c>
      <c r="E21" s="38" t="s">
        <v>168</v>
      </c>
      <c r="F21" s="19" t="str">
        <f>HYPERLINK("https://www.gov.br/receitafederal/pt-br/assuntos/meu-imposto-de-renda","🔗 abrir site")</f>
        <v>🔗 abrir site</v>
      </c>
      <c r="G21" s="66" t="s">
        <v>150</v>
      </c>
      <c r="H21" s="67"/>
    </row>
    <row r="22" spans="1:8" ht="21.95" customHeight="1" x14ac:dyDescent="0.25">
      <c r="A22" s="7" t="s">
        <v>277</v>
      </c>
      <c r="C22" s="18">
        <v>14</v>
      </c>
      <c r="D22" s="28" t="s">
        <v>169</v>
      </c>
      <c r="E22" s="38" t="s">
        <v>170</v>
      </c>
      <c r="F22" s="28"/>
      <c r="G22" s="66" t="s">
        <v>150</v>
      </c>
      <c r="H22" s="67"/>
    </row>
    <row r="23" spans="1:8" ht="21.95" customHeight="1" x14ac:dyDescent="0.25">
      <c r="A23" s="1"/>
    </row>
    <row r="24" spans="1:8" ht="21.95" customHeight="1" x14ac:dyDescent="0.25">
      <c r="A24" s="1"/>
    </row>
    <row r="25" spans="1:8" ht="21.95" customHeight="1" x14ac:dyDescent="0.25">
      <c r="A25" s="1"/>
    </row>
    <row r="26" spans="1:8" ht="21.95" customHeight="1" x14ac:dyDescent="0.25">
      <c r="A26" s="1"/>
    </row>
    <row r="27" spans="1:8" ht="21.95" customHeight="1" x14ac:dyDescent="0.25">
      <c r="A27" s="1"/>
    </row>
    <row r="28" spans="1:8" ht="21.95" customHeight="1" x14ac:dyDescent="0.25">
      <c r="A28" s="1"/>
    </row>
    <row r="29" spans="1:8" ht="21.95" customHeight="1" x14ac:dyDescent="0.25">
      <c r="A29" s="1"/>
    </row>
    <row r="30" spans="1:8" ht="21.95" customHeight="1" x14ac:dyDescent="0.25">
      <c r="A30" s="1"/>
    </row>
    <row r="31" spans="1:8" ht="21.95" customHeight="1" x14ac:dyDescent="0.25">
      <c r="A31" s="1"/>
    </row>
    <row r="32" spans="1:8" ht="21.95" customHeight="1" x14ac:dyDescent="0.25">
      <c r="A32" s="1"/>
    </row>
    <row r="33" spans="1:1" ht="21.95" customHeight="1" x14ac:dyDescent="0.25">
      <c r="A33" s="1"/>
    </row>
    <row r="34" spans="1:1" ht="21.95" customHeight="1" x14ac:dyDescent="0.25">
      <c r="A34" s="1"/>
    </row>
    <row r="35" spans="1:1" ht="21.95" customHeight="1" x14ac:dyDescent="0.25">
      <c r="A35" s="1"/>
    </row>
    <row r="36" spans="1:1" ht="21.95" customHeight="1" x14ac:dyDescent="0.25">
      <c r="A36" s="1"/>
    </row>
    <row r="37" spans="1:1" ht="21.95" customHeight="1" x14ac:dyDescent="0.25">
      <c r="A37" s="1"/>
    </row>
    <row r="38" spans="1:1" ht="21.95" customHeight="1" x14ac:dyDescent="0.25">
      <c r="A38" s="1"/>
    </row>
    <row r="39" spans="1:1" ht="21.95" customHeight="1" x14ac:dyDescent="0.25">
      <c r="A39" s="1"/>
    </row>
    <row r="40" spans="1:1" ht="21.95" customHeight="1" x14ac:dyDescent="0.25">
      <c r="A40" s="1"/>
    </row>
    <row r="41" spans="1:1" ht="21.95" customHeight="1" x14ac:dyDescent="0.25">
      <c r="A41" s="1"/>
    </row>
    <row r="42" spans="1:1" ht="21.95" customHeight="1" x14ac:dyDescent="0.25">
      <c r="A42" s="1"/>
    </row>
    <row r="43" spans="1:1" ht="21.95" customHeight="1" x14ac:dyDescent="0.25">
      <c r="A43" s="1"/>
    </row>
    <row r="44" spans="1:1" ht="21.95" customHeight="1" x14ac:dyDescent="0.25">
      <c r="A44" s="1"/>
    </row>
    <row r="45" spans="1:1" ht="21.95" customHeight="1" x14ac:dyDescent="0.25">
      <c r="A45" s="1"/>
    </row>
    <row r="46" spans="1:1" ht="21.95" customHeight="1" x14ac:dyDescent="0.25">
      <c r="A46" s="1"/>
    </row>
    <row r="47" spans="1:1" ht="21.95" customHeight="1" x14ac:dyDescent="0.25">
      <c r="A47" s="1"/>
    </row>
    <row r="48" spans="1:1" ht="21.95" customHeight="1" x14ac:dyDescent="0.25">
      <c r="A48" s="1"/>
    </row>
    <row r="49" spans="1:1" ht="21.95" customHeight="1" x14ac:dyDescent="0.25">
      <c r="A49" s="1"/>
    </row>
    <row r="50" spans="1:1" ht="21.95" customHeight="1" x14ac:dyDescent="0.25">
      <c r="A50" s="1"/>
    </row>
    <row r="51" spans="1:1" ht="21.95" customHeight="1" x14ac:dyDescent="0.25">
      <c r="A51" s="1"/>
    </row>
    <row r="52" spans="1:1" ht="21.95" customHeight="1" x14ac:dyDescent="0.25">
      <c r="A52" s="1"/>
    </row>
    <row r="53" spans="1:1" ht="21.95" customHeight="1" x14ac:dyDescent="0.25">
      <c r="A53" s="1"/>
    </row>
    <row r="54" spans="1:1" ht="21.95" customHeight="1" x14ac:dyDescent="0.25">
      <c r="A54" s="1"/>
    </row>
    <row r="55" spans="1:1" ht="21.95" customHeight="1" x14ac:dyDescent="0.25">
      <c r="A55" s="1"/>
    </row>
    <row r="56" spans="1:1" ht="21.95" customHeight="1" x14ac:dyDescent="0.25">
      <c r="A56" s="1"/>
    </row>
    <row r="57" spans="1:1" ht="21.95" customHeight="1" x14ac:dyDescent="0.25">
      <c r="A57" s="1"/>
    </row>
    <row r="58" spans="1:1" ht="21.95" customHeight="1" x14ac:dyDescent="0.25">
      <c r="A58" s="1"/>
    </row>
    <row r="59" spans="1:1" ht="21.95" customHeight="1" x14ac:dyDescent="0.25">
      <c r="A59" s="1"/>
    </row>
    <row r="60" spans="1:1" ht="21.95" customHeight="1" x14ac:dyDescent="0.25">
      <c r="A60" s="1"/>
    </row>
    <row r="61" spans="1:1" ht="21.95" customHeight="1" x14ac:dyDescent="0.25">
      <c r="A61" s="1"/>
    </row>
    <row r="62" spans="1:1" ht="21.95" customHeight="1" x14ac:dyDescent="0.25">
      <c r="A62" s="1"/>
    </row>
    <row r="63" spans="1:1" ht="21.95" customHeight="1" x14ac:dyDescent="0.25">
      <c r="A63" s="1"/>
    </row>
    <row r="64" spans="1:1" ht="21.95" customHeight="1" x14ac:dyDescent="0.25">
      <c r="A64" s="1"/>
    </row>
    <row r="65" spans="1:1" ht="21.95" customHeight="1" x14ac:dyDescent="0.25">
      <c r="A65" s="1"/>
    </row>
    <row r="66" spans="1:1" ht="21.95" customHeight="1" x14ac:dyDescent="0.25">
      <c r="A66" s="1"/>
    </row>
    <row r="67" spans="1:1" ht="21.95" customHeight="1" x14ac:dyDescent="0.25">
      <c r="A67" s="1"/>
    </row>
    <row r="68" spans="1:1" ht="21.95" customHeight="1" x14ac:dyDescent="0.25">
      <c r="A68" s="1"/>
    </row>
    <row r="69" spans="1:1" ht="21.95" customHeight="1" x14ac:dyDescent="0.25">
      <c r="A69" s="1"/>
    </row>
    <row r="70" spans="1:1" ht="21.95" customHeight="1" x14ac:dyDescent="0.25">
      <c r="A70" s="1"/>
    </row>
    <row r="71" spans="1:1" ht="21.95" customHeight="1" x14ac:dyDescent="0.25">
      <c r="A71" s="1"/>
    </row>
    <row r="72" spans="1:1" ht="21.95" customHeight="1" x14ac:dyDescent="0.25">
      <c r="A72" s="1"/>
    </row>
    <row r="73" spans="1:1" ht="21.95" customHeight="1" x14ac:dyDescent="0.25">
      <c r="A73" s="1"/>
    </row>
    <row r="74" spans="1:1" ht="21.95" customHeight="1" x14ac:dyDescent="0.25">
      <c r="A74" s="1"/>
    </row>
  </sheetData>
  <sheetProtection sheet="1" objects="1" scenarios="1" selectLockedCells="1"/>
  <conditionalFormatting sqref="G9:G22">
    <cfRule type="expression" dxfId="15" priority="1">
      <formula>G9="Concluído"</formula>
    </cfRule>
    <cfRule type="expression" dxfId="14" priority="2">
      <formula>G9="Em andamento"</formula>
    </cfRule>
    <cfRule type="expression" dxfId="13" priority="3">
      <formula>G9="Pendente"</formula>
    </cfRule>
  </conditionalFormatting>
  <dataValidations count="1">
    <dataValidation type="list" allowBlank="1" showErrorMessage="1" errorTitle="Status inválido" error="Escolha Pendente, Em andamento ou Concluído." sqref="G9:G22" xr:uid="{00000000-0002-0000-0600-000000000000}">
      <formula1>lst_status</formula1>
    </dataValidation>
  </dataValidations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A4A5C"/>
    <pageSetUpPr fitToPage="1"/>
  </sheetPr>
  <dimension ref="A1:E74"/>
  <sheetViews>
    <sheetView showGridLines="0" showRowColHeaders="0" workbookViewId="0">
      <selection activeCell="A17" sqref="A17"/>
    </sheetView>
  </sheetViews>
  <sheetFormatPr defaultColWidth="0" defaultRowHeight="15" x14ac:dyDescent="0.25"/>
  <cols>
    <col min="1" max="1" width="26" customWidth="1"/>
    <col min="2" max="2" width="3" customWidth="1"/>
    <col min="3" max="3" width="46" customWidth="1"/>
    <col min="4" max="4" width="18" customWidth="1"/>
    <col min="5" max="5" width="136.7109375" bestFit="1" customWidth="1"/>
    <col min="6" max="6" width="2.140625" customWidth="1"/>
    <col min="7" max="16384" width="9.140625" hidden="1"/>
  </cols>
  <sheetData>
    <row r="1" spans="1:5" ht="21.95" customHeight="1" x14ac:dyDescent="0.25">
      <c r="A1" s="1"/>
    </row>
    <row r="2" spans="1:5" ht="27.95" customHeight="1" x14ac:dyDescent="0.25">
      <c r="A2" s="2" t="s">
        <v>0</v>
      </c>
    </row>
    <row r="3" spans="1:5" ht="27.95" customHeight="1" x14ac:dyDescent="0.25">
      <c r="A3" s="1"/>
      <c r="C3" s="9" t="s">
        <v>171</v>
      </c>
    </row>
    <row r="4" spans="1:5" ht="21.95" customHeight="1" x14ac:dyDescent="0.25">
      <c r="A4" s="1"/>
      <c r="C4" s="5" t="s">
        <v>172</v>
      </c>
    </row>
    <row r="5" spans="1:5" ht="21.95" customHeight="1" x14ac:dyDescent="0.25">
      <c r="A5" s="1"/>
    </row>
    <row r="6" spans="1:5" ht="21.95" customHeight="1" x14ac:dyDescent="0.25">
      <c r="A6" s="1"/>
    </row>
    <row r="7" spans="1:5" ht="21.95" customHeight="1" x14ac:dyDescent="0.25">
      <c r="A7" s="1"/>
      <c r="C7" s="17" t="s">
        <v>173</v>
      </c>
      <c r="D7" s="17" t="s">
        <v>59</v>
      </c>
      <c r="E7" s="17" t="s">
        <v>174</v>
      </c>
    </row>
    <row r="8" spans="1:5" ht="21.95" customHeight="1" x14ac:dyDescent="0.25">
      <c r="A8" s="1"/>
      <c r="C8" s="28" t="s">
        <v>175</v>
      </c>
      <c r="D8" s="63">
        <v>2025</v>
      </c>
      <c r="E8" s="33" t="s">
        <v>176</v>
      </c>
    </row>
    <row r="9" spans="1:5" ht="21.95" customHeight="1" x14ac:dyDescent="0.25">
      <c r="A9" s="1"/>
      <c r="C9" s="28" t="s">
        <v>177</v>
      </c>
      <c r="D9" s="64">
        <v>35584</v>
      </c>
      <c r="E9" s="33" t="s">
        <v>178</v>
      </c>
    </row>
    <row r="10" spans="1:5" ht="21.95" customHeight="1" x14ac:dyDescent="0.25">
      <c r="A10" s="1"/>
      <c r="C10" s="28" t="s">
        <v>179</v>
      </c>
      <c r="D10" s="64">
        <v>200000</v>
      </c>
      <c r="E10" s="33" t="s">
        <v>180</v>
      </c>
    </row>
    <row r="11" spans="1:5" ht="21.95" customHeight="1" x14ac:dyDescent="0.25">
      <c r="A11" s="93" t="str">
        <f>HYPERLINK("#'INÍCIO'!A1","   INÍCIO")</f>
        <v xml:space="preserve">   INÍCIO</v>
      </c>
      <c r="C11" s="28" t="s">
        <v>181</v>
      </c>
      <c r="D11" s="64">
        <v>800000</v>
      </c>
      <c r="E11" s="33" t="s">
        <v>182</v>
      </c>
    </row>
    <row r="12" spans="1:5" ht="21.95" customHeight="1" x14ac:dyDescent="0.25">
      <c r="A12" s="93" t="str">
        <f>HYPERLINK("#'TITULAR'!A1","   TITULAR")</f>
        <v xml:space="preserve">   TITULAR</v>
      </c>
      <c r="C12" s="28" t="s">
        <v>183</v>
      </c>
      <c r="D12" s="64">
        <v>2275.08</v>
      </c>
      <c r="E12" s="33" t="s">
        <v>184</v>
      </c>
    </row>
    <row r="13" spans="1:5" ht="21.95" customHeight="1" x14ac:dyDescent="0.25">
      <c r="A13" s="93" t="str">
        <f>HYPERLINK("#'INFORMES'!A1","   INFORMES")</f>
        <v xml:space="preserve">   INFORMES</v>
      </c>
      <c r="C13" s="28" t="s">
        <v>185</v>
      </c>
      <c r="D13" s="64">
        <v>3561.5</v>
      </c>
      <c r="E13" s="33" t="s">
        <v>184</v>
      </c>
    </row>
    <row r="14" spans="1:5" ht="21.95" customHeight="1" x14ac:dyDescent="0.25">
      <c r="A14" s="93" t="str">
        <f>HYPERLINK("#'NOTAS'!A1","   NOTAS")</f>
        <v xml:space="preserve">   NOTAS</v>
      </c>
      <c r="C14" s="28" t="s">
        <v>186</v>
      </c>
      <c r="D14" s="65">
        <v>0.2</v>
      </c>
      <c r="E14" s="33" t="s">
        <v>180</v>
      </c>
    </row>
    <row r="15" spans="1:5" ht="21.95" customHeight="1" x14ac:dyDescent="0.25">
      <c r="A15" s="93" t="str">
        <f>HYPERLINK("#'DEDUÇÕES'!A1","   DEDUÇÕES")</f>
        <v xml:space="preserve">   DEDUÇÕES</v>
      </c>
      <c r="C15" s="28" t="s">
        <v>187</v>
      </c>
      <c r="D15" s="64">
        <v>17640</v>
      </c>
      <c r="E15" s="33" t="s">
        <v>188</v>
      </c>
    </row>
    <row r="16" spans="1:5" ht="21.95" customHeight="1" x14ac:dyDescent="0.25">
      <c r="A16" s="93" t="str">
        <f>HYPERLINK("#'RESUMO'!A1","   RESUMO")</f>
        <v xml:space="preserve">   RESUMO</v>
      </c>
      <c r="C16" s="28" t="s">
        <v>189</v>
      </c>
      <c r="D16" s="65">
        <v>0.12</v>
      </c>
      <c r="E16" s="33" t="s">
        <v>190</v>
      </c>
    </row>
    <row r="17" spans="1:3" ht="21.95" customHeight="1" x14ac:dyDescent="0.25">
      <c r="A17" s="93" t="str">
        <f>HYPERLINK("#'CHECKLIST'!A1","   CHECKLIST")</f>
        <v xml:space="preserve">   CHECKLIST</v>
      </c>
    </row>
    <row r="18" spans="1:3" ht="21.95" customHeight="1" x14ac:dyDescent="0.25">
      <c r="A18" s="94" t="str">
        <f>HYPERLINK("#'AJUSTES'!A1","   AJUSTES")</f>
        <v xml:space="preserve">   AJUSTES</v>
      </c>
      <c r="C18" s="27" t="s">
        <v>191</v>
      </c>
    </row>
    <row r="19" spans="1:3" ht="21.95" customHeight="1" x14ac:dyDescent="0.25">
      <c r="A19" s="1"/>
      <c r="C19" s="27" t="s">
        <v>192</v>
      </c>
    </row>
    <row r="20" spans="1:3" ht="21.95" customHeight="1" x14ac:dyDescent="0.25">
      <c r="A20" s="1"/>
    </row>
    <row r="21" spans="1:3" ht="21.95" customHeight="1" x14ac:dyDescent="0.25">
      <c r="A21" s="6" t="s">
        <v>9</v>
      </c>
    </row>
    <row r="22" spans="1:3" ht="21.95" customHeight="1" x14ac:dyDescent="0.25">
      <c r="A22" s="7" t="s">
        <v>277</v>
      </c>
    </row>
    <row r="23" spans="1:3" ht="21.95" customHeight="1" x14ac:dyDescent="0.25">
      <c r="A23" s="1"/>
    </row>
    <row r="24" spans="1:3" ht="21.95" customHeight="1" x14ac:dyDescent="0.25">
      <c r="A24" s="1"/>
    </row>
    <row r="25" spans="1:3" ht="21.95" customHeight="1" x14ac:dyDescent="0.25">
      <c r="A25" s="1"/>
    </row>
    <row r="26" spans="1:3" ht="21.95" customHeight="1" x14ac:dyDescent="0.25">
      <c r="A26" s="1"/>
    </row>
    <row r="27" spans="1:3" ht="21.95" customHeight="1" x14ac:dyDescent="0.25">
      <c r="A27" s="1"/>
    </row>
    <row r="28" spans="1:3" ht="21.95" customHeight="1" x14ac:dyDescent="0.25">
      <c r="A28" s="1"/>
    </row>
    <row r="29" spans="1:3" ht="21.95" customHeight="1" x14ac:dyDescent="0.25">
      <c r="A29" s="1"/>
    </row>
    <row r="30" spans="1:3" ht="21.95" customHeight="1" x14ac:dyDescent="0.25">
      <c r="A30" s="1"/>
    </row>
    <row r="31" spans="1:3" ht="21.95" customHeight="1" x14ac:dyDescent="0.25">
      <c r="A31" s="1"/>
    </row>
    <row r="32" spans="1:3" ht="21.95" customHeight="1" x14ac:dyDescent="0.25">
      <c r="A32" s="1"/>
    </row>
    <row r="33" spans="1:1" ht="21.95" customHeight="1" x14ac:dyDescent="0.25">
      <c r="A33" s="1"/>
    </row>
    <row r="34" spans="1:1" ht="21.95" customHeight="1" x14ac:dyDescent="0.25">
      <c r="A34" s="1"/>
    </row>
    <row r="35" spans="1:1" ht="21.95" customHeight="1" x14ac:dyDescent="0.25">
      <c r="A35" s="1"/>
    </row>
    <row r="36" spans="1:1" ht="21.95" customHeight="1" x14ac:dyDescent="0.25">
      <c r="A36" s="1"/>
    </row>
    <row r="37" spans="1:1" ht="21.95" customHeight="1" x14ac:dyDescent="0.25">
      <c r="A37" s="1"/>
    </row>
    <row r="38" spans="1:1" ht="21.95" customHeight="1" x14ac:dyDescent="0.25">
      <c r="A38" s="1"/>
    </row>
    <row r="39" spans="1:1" ht="21.95" customHeight="1" x14ac:dyDescent="0.25">
      <c r="A39" s="1"/>
    </row>
    <row r="40" spans="1:1" ht="21.95" customHeight="1" x14ac:dyDescent="0.25">
      <c r="A40" s="1"/>
    </row>
    <row r="41" spans="1:1" ht="21.95" customHeight="1" x14ac:dyDescent="0.25">
      <c r="A41" s="1"/>
    </row>
    <row r="42" spans="1:1" ht="21.95" customHeight="1" x14ac:dyDescent="0.25">
      <c r="A42" s="1"/>
    </row>
    <row r="43" spans="1:1" ht="21.95" customHeight="1" x14ac:dyDescent="0.25">
      <c r="A43" s="1"/>
    </row>
    <row r="44" spans="1:1" ht="21.95" customHeight="1" x14ac:dyDescent="0.25">
      <c r="A44" s="1"/>
    </row>
    <row r="45" spans="1:1" ht="21.95" customHeight="1" x14ac:dyDescent="0.25">
      <c r="A45" s="1"/>
    </row>
    <row r="46" spans="1:1" ht="21.95" customHeight="1" x14ac:dyDescent="0.25">
      <c r="A46" s="1"/>
    </row>
    <row r="47" spans="1:1" ht="21.95" customHeight="1" x14ac:dyDescent="0.25">
      <c r="A47" s="1"/>
    </row>
    <row r="48" spans="1:1" ht="21.95" customHeight="1" x14ac:dyDescent="0.25">
      <c r="A48" s="1"/>
    </row>
    <row r="49" spans="1:1" ht="21.95" customHeight="1" x14ac:dyDescent="0.25">
      <c r="A49" s="1"/>
    </row>
    <row r="50" spans="1:1" ht="21.95" customHeight="1" x14ac:dyDescent="0.25">
      <c r="A50" s="1"/>
    </row>
    <row r="51" spans="1:1" ht="21.95" customHeight="1" x14ac:dyDescent="0.25">
      <c r="A51" s="1"/>
    </row>
    <row r="52" spans="1:1" ht="21.95" customHeight="1" x14ac:dyDescent="0.25">
      <c r="A52" s="1"/>
    </row>
    <row r="53" spans="1:1" ht="21.95" customHeight="1" x14ac:dyDescent="0.25">
      <c r="A53" s="1"/>
    </row>
    <row r="54" spans="1:1" ht="21.95" customHeight="1" x14ac:dyDescent="0.25">
      <c r="A54" s="1"/>
    </row>
    <row r="55" spans="1:1" ht="21.95" customHeight="1" x14ac:dyDescent="0.25">
      <c r="A55" s="1"/>
    </row>
    <row r="56" spans="1:1" ht="21.95" customHeight="1" x14ac:dyDescent="0.25">
      <c r="A56" s="1"/>
    </row>
    <row r="57" spans="1:1" ht="21.95" customHeight="1" x14ac:dyDescent="0.25">
      <c r="A57" s="1"/>
    </row>
    <row r="58" spans="1:1" ht="21.95" customHeight="1" x14ac:dyDescent="0.25">
      <c r="A58" s="1"/>
    </row>
    <row r="59" spans="1:1" ht="21.95" customHeight="1" x14ac:dyDescent="0.25">
      <c r="A59" s="1"/>
    </row>
    <row r="60" spans="1:1" ht="21.95" customHeight="1" x14ac:dyDescent="0.25">
      <c r="A60" s="1"/>
    </row>
    <row r="61" spans="1:1" ht="21.95" customHeight="1" x14ac:dyDescent="0.25">
      <c r="A61" s="1"/>
    </row>
    <row r="62" spans="1:1" ht="21.95" customHeight="1" x14ac:dyDescent="0.25">
      <c r="A62" s="1"/>
    </row>
    <row r="63" spans="1:1" ht="21.95" customHeight="1" x14ac:dyDescent="0.25">
      <c r="A63" s="1"/>
    </row>
    <row r="64" spans="1:1" ht="21.95" customHeight="1" x14ac:dyDescent="0.25">
      <c r="A64" s="1"/>
    </row>
    <row r="65" spans="1:1" ht="21.95" customHeight="1" x14ac:dyDescent="0.25">
      <c r="A65" s="1"/>
    </row>
    <row r="66" spans="1:1" ht="21.95" customHeight="1" x14ac:dyDescent="0.25">
      <c r="A66" s="1"/>
    </row>
    <row r="67" spans="1:1" ht="21.95" customHeight="1" x14ac:dyDescent="0.25">
      <c r="A67" s="1"/>
    </row>
    <row r="68" spans="1:1" ht="21.95" customHeight="1" x14ac:dyDescent="0.25">
      <c r="A68" s="1"/>
    </row>
    <row r="69" spans="1:1" ht="21.95" customHeight="1" x14ac:dyDescent="0.25">
      <c r="A69" s="1"/>
    </row>
    <row r="70" spans="1:1" ht="21.95" customHeight="1" x14ac:dyDescent="0.25">
      <c r="A70" s="1"/>
    </row>
    <row r="71" spans="1:1" ht="21.95" customHeight="1" x14ac:dyDescent="0.25">
      <c r="A71" s="1"/>
    </row>
    <row r="72" spans="1:1" ht="21.95" customHeight="1" x14ac:dyDescent="0.25">
      <c r="A72" s="1"/>
    </row>
    <row r="73" spans="1:1" ht="21.95" customHeight="1" x14ac:dyDescent="0.25">
      <c r="A73" s="1"/>
    </row>
    <row r="74" spans="1:1" ht="21.95" customHeight="1" x14ac:dyDescent="0.25">
      <c r="A74" s="1"/>
    </row>
  </sheetData>
  <sheetProtection sheet="1" objects="1" scenarios="1" selectLockedCells="1"/>
  <dataValidations count="3">
    <dataValidation type="whole" allowBlank="1" showErrorMessage="1" errorTitle="Ano inválido" error="Informe um ano entre 2000 e 2100." sqref="D8" xr:uid="{00000000-0002-0000-0700-000000000000}">
      <formula1>2000</formula1>
      <formula2>2100</formula2>
    </dataValidation>
    <dataValidation type="decimal" allowBlank="1" showErrorMessage="1" errorTitle="Valor inválido" error="Informe um valor numérico positivo." sqref="D9:D13" xr:uid="{00000000-0002-0000-0700-000001000000}">
      <formula1>0</formula1>
      <formula2>999999999</formula2>
    </dataValidation>
    <dataValidation type="decimal" allowBlank="1" showErrorMessage="1" errorTitle="Percentual inválido" error="Informe entre 0% e 100%." sqref="D14:D16" xr:uid="{00000000-0002-0000-0700-000002000000}">
      <formula1>0</formula1>
      <formula2>1</formula2>
    </dataValidation>
  </dataValidations>
  <pageMargins left="0.75" right="0.75" top="1" bottom="1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1"/>
  <sheetViews>
    <sheetView workbookViewId="0"/>
  </sheetViews>
  <sheetFormatPr defaultRowHeight="15" x14ac:dyDescent="0.25"/>
  <cols>
    <col min="1" max="1" width="42" customWidth="1"/>
    <col min="3" max="4" width="30" customWidth="1"/>
    <col min="6" max="10" width="30" customWidth="1"/>
  </cols>
  <sheetData>
    <row r="1" spans="1:10" x14ac:dyDescent="0.25">
      <c r="A1" s="39" t="s">
        <v>193</v>
      </c>
      <c r="C1" s="39" t="s">
        <v>194</v>
      </c>
      <c r="D1" s="39" t="s">
        <v>195</v>
      </c>
      <c r="F1" s="39" t="s">
        <v>196</v>
      </c>
      <c r="G1" s="39" t="s">
        <v>197</v>
      </c>
      <c r="H1" s="39" t="s">
        <v>198</v>
      </c>
      <c r="I1" s="39" t="s">
        <v>199</v>
      </c>
      <c r="J1" s="39" t="s">
        <v>200</v>
      </c>
    </row>
    <row r="2" spans="1:10" x14ac:dyDescent="0.25">
      <c r="A2" s="40" t="s">
        <v>45</v>
      </c>
      <c r="C2" s="40" t="s">
        <v>62</v>
      </c>
      <c r="D2" s="40" t="s">
        <v>201</v>
      </c>
      <c r="F2" s="40" t="s">
        <v>80</v>
      </c>
      <c r="G2" s="40" t="s">
        <v>81</v>
      </c>
      <c r="H2" s="40" t="s">
        <v>150</v>
      </c>
      <c r="I2" s="40" t="s">
        <v>202</v>
      </c>
      <c r="J2" s="40" t="s">
        <v>201</v>
      </c>
    </row>
    <row r="3" spans="1:10" x14ac:dyDescent="0.25">
      <c r="A3" s="40" t="s">
        <v>203</v>
      </c>
      <c r="C3" s="40" t="s">
        <v>204</v>
      </c>
      <c r="D3" s="40" t="s">
        <v>201</v>
      </c>
      <c r="F3" s="40" t="s">
        <v>86</v>
      </c>
      <c r="G3" s="40" t="s">
        <v>97</v>
      </c>
      <c r="H3" s="40" t="s">
        <v>147</v>
      </c>
      <c r="I3" s="40" t="s">
        <v>31</v>
      </c>
      <c r="J3" s="40" t="s">
        <v>205</v>
      </c>
    </row>
    <row r="4" spans="1:10" x14ac:dyDescent="0.25">
      <c r="A4" s="40" t="s">
        <v>206</v>
      </c>
      <c r="C4" s="40" t="s">
        <v>207</v>
      </c>
      <c r="D4" s="40" t="s">
        <v>201</v>
      </c>
      <c r="F4" s="40" t="s">
        <v>89</v>
      </c>
      <c r="G4" s="40" t="s">
        <v>98</v>
      </c>
      <c r="H4" s="40" t="s">
        <v>142</v>
      </c>
      <c r="J4" s="40" t="s">
        <v>208</v>
      </c>
    </row>
    <row r="5" spans="1:10" x14ac:dyDescent="0.25">
      <c r="A5" s="40" t="s">
        <v>209</v>
      </c>
      <c r="C5" s="40" t="s">
        <v>210</v>
      </c>
      <c r="D5" s="40" t="s">
        <v>201</v>
      </c>
      <c r="F5" s="40" t="s">
        <v>92</v>
      </c>
      <c r="G5" s="40" t="s">
        <v>99</v>
      </c>
    </row>
    <row r="6" spans="1:10" x14ac:dyDescent="0.25">
      <c r="A6" s="40" t="s">
        <v>211</v>
      </c>
      <c r="C6" s="40" t="s">
        <v>64</v>
      </c>
      <c r="D6" s="40" t="s">
        <v>208</v>
      </c>
      <c r="F6" s="40" t="s">
        <v>93</v>
      </c>
      <c r="G6" s="40" t="s">
        <v>100</v>
      </c>
    </row>
    <row r="7" spans="1:10" x14ac:dyDescent="0.25">
      <c r="A7" s="40" t="s">
        <v>212</v>
      </c>
      <c r="C7" s="40" t="s">
        <v>66</v>
      </c>
      <c r="D7" s="40" t="s">
        <v>208</v>
      </c>
    </row>
    <row r="8" spans="1:10" x14ac:dyDescent="0.25">
      <c r="A8" s="40" t="s">
        <v>213</v>
      </c>
      <c r="C8" s="40" t="s">
        <v>214</v>
      </c>
      <c r="D8" s="40" t="s">
        <v>208</v>
      </c>
    </row>
    <row r="9" spans="1:10" x14ac:dyDescent="0.25">
      <c r="A9" s="40" t="s">
        <v>215</v>
      </c>
      <c r="C9" s="40" t="s">
        <v>68</v>
      </c>
      <c r="D9" s="40" t="s">
        <v>205</v>
      </c>
    </row>
    <row r="10" spans="1:10" x14ac:dyDescent="0.25">
      <c r="A10" s="40" t="s">
        <v>216</v>
      </c>
      <c r="C10" s="40" t="s">
        <v>70</v>
      </c>
      <c r="D10" s="40" t="s">
        <v>205</v>
      </c>
    </row>
    <row r="11" spans="1:10" x14ac:dyDescent="0.25">
      <c r="A11" s="40" t="s">
        <v>217</v>
      </c>
      <c r="C11" s="40" t="s">
        <v>218</v>
      </c>
      <c r="D11" s="40" t="s">
        <v>205</v>
      </c>
    </row>
    <row r="12" spans="1:10" x14ac:dyDescent="0.25">
      <c r="A12" s="40" t="s">
        <v>219</v>
      </c>
      <c r="C12" s="40" t="s">
        <v>220</v>
      </c>
      <c r="D12" s="40" t="s">
        <v>205</v>
      </c>
    </row>
    <row r="13" spans="1:10" x14ac:dyDescent="0.25">
      <c r="A13" s="40" t="s">
        <v>221</v>
      </c>
      <c r="C13" s="40" t="s">
        <v>222</v>
      </c>
      <c r="D13" s="40" t="s">
        <v>201</v>
      </c>
    </row>
    <row r="14" spans="1:10" x14ac:dyDescent="0.25">
      <c r="A14" s="40" t="s">
        <v>223</v>
      </c>
    </row>
    <row r="15" spans="1:10" x14ac:dyDescent="0.25">
      <c r="A15" s="40" t="s">
        <v>224</v>
      </c>
    </row>
    <row r="16" spans="1:10" x14ac:dyDescent="0.25">
      <c r="A16" s="40" t="s">
        <v>225</v>
      </c>
    </row>
    <row r="17" spans="1:1" x14ac:dyDescent="0.25">
      <c r="A17" s="40" t="s">
        <v>226</v>
      </c>
    </row>
    <row r="18" spans="1:1" x14ac:dyDescent="0.25">
      <c r="A18" s="40" t="s">
        <v>227</v>
      </c>
    </row>
    <row r="19" spans="1:1" x14ac:dyDescent="0.25">
      <c r="A19" s="40" t="s">
        <v>228</v>
      </c>
    </row>
    <row r="20" spans="1:1" x14ac:dyDescent="0.25">
      <c r="A20" s="40" t="s">
        <v>229</v>
      </c>
    </row>
    <row r="21" spans="1:1" x14ac:dyDescent="0.25">
      <c r="A21" s="40" t="s">
        <v>230</v>
      </c>
    </row>
    <row r="22" spans="1:1" x14ac:dyDescent="0.25">
      <c r="A22" s="40" t="s">
        <v>47</v>
      </c>
    </row>
    <row r="23" spans="1:1" x14ac:dyDescent="0.25">
      <c r="A23" s="40" t="s">
        <v>231</v>
      </c>
    </row>
    <row r="24" spans="1:1" x14ac:dyDescent="0.25">
      <c r="A24" s="40" t="s">
        <v>49</v>
      </c>
    </row>
    <row r="25" spans="1:1" x14ac:dyDescent="0.25">
      <c r="A25" s="40" t="s">
        <v>232</v>
      </c>
    </row>
    <row r="26" spans="1:1" x14ac:dyDescent="0.25">
      <c r="A26" s="40" t="s">
        <v>233</v>
      </c>
    </row>
    <row r="27" spans="1:1" x14ac:dyDescent="0.25">
      <c r="A27" s="40" t="s">
        <v>234</v>
      </c>
    </row>
    <row r="28" spans="1:1" x14ac:dyDescent="0.25">
      <c r="A28" s="40" t="s">
        <v>235</v>
      </c>
    </row>
    <row r="29" spans="1:1" x14ac:dyDescent="0.25">
      <c r="A29" s="40" t="s">
        <v>236</v>
      </c>
    </row>
    <row r="30" spans="1:1" x14ac:dyDescent="0.25">
      <c r="A30" s="40" t="s">
        <v>237</v>
      </c>
    </row>
    <row r="31" spans="1:1" x14ac:dyDescent="0.25">
      <c r="A31" s="40" t="s">
        <v>238</v>
      </c>
    </row>
    <row r="32" spans="1:1" x14ac:dyDescent="0.25">
      <c r="A32" s="40" t="s">
        <v>239</v>
      </c>
    </row>
    <row r="33" spans="1:1" x14ac:dyDescent="0.25">
      <c r="A33" s="40" t="s">
        <v>240</v>
      </c>
    </row>
    <row r="34" spans="1:1" x14ac:dyDescent="0.25">
      <c r="A34" s="40" t="s">
        <v>241</v>
      </c>
    </row>
    <row r="35" spans="1:1" x14ac:dyDescent="0.25">
      <c r="A35" s="40" t="s">
        <v>242</v>
      </c>
    </row>
    <row r="36" spans="1:1" x14ac:dyDescent="0.25">
      <c r="A36" s="40" t="s">
        <v>243</v>
      </c>
    </row>
    <row r="37" spans="1:1" x14ac:dyDescent="0.25">
      <c r="A37" s="40" t="s">
        <v>244</v>
      </c>
    </row>
    <row r="38" spans="1:1" x14ac:dyDescent="0.25">
      <c r="A38" s="40" t="s">
        <v>245</v>
      </c>
    </row>
    <row r="39" spans="1:1" x14ac:dyDescent="0.25">
      <c r="A39" s="40" t="s">
        <v>246</v>
      </c>
    </row>
    <row r="40" spans="1:1" x14ac:dyDescent="0.25">
      <c r="A40" s="40" t="s">
        <v>247</v>
      </c>
    </row>
    <row r="41" spans="1:1" x14ac:dyDescent="0.25">
      <c r="A41" s="40" t="s">
        <v>248</v>
      </c>
    </row>
    <row r="42" spans="1:1" x14ac:dyDescent="0.25">
      <c r="A42" s="40" t="s">
        <v>249</v>
      </c>
    </row>
    <row r="43" spans="1:1" x14ac:dyDescent="0.25">
      <c r="A43" s="40" t="s">
        <v>250</v>
      </c>
    </row>
    <row r="44" spans="1:1" x14ac:dyDescent="0.25">
      <c r="A44" s="40" t="s">
        <v>251</v>
      </c>
    </row>
    <row r="45" spans="1:1" x14ac:dyDescent="0.25">
      <c r="A45" s="40" t="s">
        <v>252</v>
      </c>
    </row>
    <row r="46" spans="1:1" x14ac:dyDescent="0.25">
      <c r="A46" s="40" t="s">
        <v>253</v>
      </c>
    </row>
    <row r="47" spans="1:1" x14ac:dyDescent="0.25">
      <c r="A47" s="40" t="s">
        <v>254</v>
      </c>
    </row>
    <row r="48" spans="1:1" x14ac:dyDescent="0.25">
      <c r="A48" s="40" t="s">
        <v>255</v>
      </c>
    </row>
    <row r="49" spans="1:1" x14ac:dyDescent="0.25">
      <c r="A49" s="40" t="s">
        <v>256</v>
      </c>
    </row>
    <row r="50" spans="1:1" x14ac:dyDescent="0.25">
      <c r="A50" s="40" t="s">
        <v>257</v>
      </c>
    </row>
    <row r="51" spans="1:1" x14ac:dyDescent="0.25">
      <c r="A51" s="40" t="s">
        <v>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/>
  </sheetViews>
  <sheetFormatPr defaultRowHeight="15" x14ac:dyDescent="0.25"/>
  <sheetData>
    <row r="1" spans="1:6" x14ac:dyDescent="0.25">
      <c r="A1" s="39" t="s">
        <v>259</v>
      </c>
      <c r="B1" s="39" t="s">
        <v>260</v>
      </c>
      <c r="C1" s="39" t="s">
        <v>261</v>
      </c>
      <c r="E1" t="s">
        <v>262</v>
      </c>
      <c r="F1" t="s">
        <v>263</v>
      </c>
    </row>
    <row r="2" spans="1:6" x14ac:dyDescent="0.25">
      <c r="A2" t="s">
        <v>264</v>
      </c>
      <c r="B2">
        <v>1</v>
      </c>
      <c r="C2">
        <f>SUMIFS(NOTAS!$F$9:$F$208,NOTAS!$H$9:$H$208,B2)</f>
        <v>3000</v>
      </c>
      <c r="E2" t="s">
        <v>201</v>
      </c>
      <c r="F2">
        <f>SUMIF(NOTAS!$G$9:$G$208,E2,NOTAS!$F$9:$F$208)</f>
        <v>36000</v>
      </c>
    </row>
    <row r="3" spans="1:6" x14ac:dyDescent="0.25">
      <c r="A3" t="s">
        <v>265</v>
      </c>
      <c r="B3">
        <v>2</v>
      </c>
      <c r="C3">
        <f>SUMIFS(NOTAS!$F$9:$F$208,NOTAS!$H$9:$H$208,B3)</f>
        <v>3000</v>
      </c>
      <c r="E3" t="s">
        <v>205</v>
      </c>
      <c r="F3">
        <f>SUMIF(NOTAS!$G$9:$G$208,E3,NOTAS!$F$9:$F$208)</f>
        <v>1400</v>
      </c>
    </row>
    <row r="4" spans="1:6" x14ac:dyDescent="0.25">
      <c r="A4" t="s">
        <v>266</v>
      </c>
      <c r="B4">
        <v>3</v>
      </c>
      <c r="C4">
        <f>SUMIFS(NOTAS!$F$9:$F$208,NOTAS!$H$9:$H$208,B4)</f>
        <v>3000</v>
      </c>
      <c r="E4" t="s">
        <v>208</v>
      </c>
      <c r="F4">
        <f>SUMIF(NOTAS!$G$9:$G$208,E4,NOTAS!$F$9:$F$208)</f>
        <v>4250</v>
      </c>
    </row>
    <row r="5" spans="1:6" x14ac:dyDescent="0.25">
      <c r="A5" t="s">
        <v>267</v>
      </c>
      <c r="B5">
        <v>4</v>
      </c>
      <c r="C5">
        <f>SUMIFS(NOTAS!$F$9:$F$208,NOTAS!$H$9:$H$208,B5)</f>
        <v>3000</v>
      </c>
    </row>
    <row r="6" spans="1:6" x14ac:dyDescent="0.25">
      <c r="A6" t="s">
        <v>268</v>
      </c>
      <c r="B6">
        <v>5</v>
      </c>
      <c r="C6">
        <f>SUMIFS(NOTAS!$F$9:$F$208,NOTAS!$H$9:$H$208,B6)</f>
        <v>3000</v>
      </c>
    </row>
    <row r="7" spans="1:6" x14ac:dyDescent="0.25">
      <c r="A7" t="s">
        <v>269</v>
      </c>
      <c r="B7">
        <v>6</v>
      </c>
      <c r="C7">
        <f>SUMIFS(NOTAS!$F$9:$F$208,NOTAS!$H$9:$H$208,B7)</f>
        <v>4250</v>
      </c>
    </row>
    <row r="8" spans="1:6" x14ac:dyDescent="0.25">
      <c r="A8" t="s">
        <v>270</v>
      </c>
      <c r="B8">
        <v>7</v>
      </c>
      <c r="C8">
        <f>SUMIFS(NOTAS!$F$9:$F$208,NOTAS!$H$9:$H$208,B8)</f>
        <v>3000</v>
      </c>
    </row>
    <row r="9" spans="1:6" x14ac:dyDescent="0.25">
      <c r="A9" t="s">
        <v>271</v>
      </c>
      <c r="B9">
        <v>8</v>
      </c>
      <c r="C9">
        <f>SUMIFS(NOTAS!$F$9:$F$208,NOTAS!$H$9:$H$208,B9)</f>
        <v>3000</v>
      </c>
    </row>
    <row r="10" spans="1:6" x14ac:dyDescent="0.25">
      <c r="A10" t="s">
        <v>272</v>
      </c>
      <c r="B10">
        <v>9</v>
      </c>
      <c r="C10">
        <f>SUMIFS(NOTAS!$F$9:$F$208,NOTAS!$H$9:$H$208,B10)</f>
        <v>3480</v>
      </c>
    </row>
    <row r="11" spans="1:6" x14ac:dyDescent="0.25">
      <c r="A11" t="s">
        <v>273</v>
      </c>
      <c r="B11">
        <v>10</v>
      </c>
      <c r="C11">
        <f>SUMIFS(NOTAS!$F$9:$F$208,NOTAS!$H$9:$H$208,B11)</f>
        <v>3000</v>
      </c>
    </row>
    <row r="12" spans="1:6" x14ac:dyDescent="0.25">
      <c r="A12" t="s">
        <v>274</v>
      </c>
      <c r="B12">
        <v>11</v>
      </c>
      <c r="C12">
        <f>SUMIFS(NOTAS!$F$9:$F$208,NOTAS!$H$9:$H$208,B12)</f>
        <v>3000</v>
      </c>
    </row>
    <row r="13" spans="1:6" x14ac:dyDescent="0.25">
      <c r="A13" t="s">
        <v>275</v>
      </c>
      <c r="B13">
        <v>12</v>
      </c>
      <c r="C13">
        <f>SUMIFS(NOTAS!$F$9:$F$208,NOTAS!$H$9:$H$208,B13)</f>
        <v>6920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22</vt:i4>
      </vt:variant>
    </vt:vector>
  </HeadingPairs>
  <TitlesOfParts>
    <vt:vector size="32" baseType="lpstr">
      <vt:lpstr>INÍCIO</vt:lpstr>
      <vt:lpstr>TITULAR</vt:lpstr>
      <vt:lpstr>INFORMES</vt:lpstr>
      <vt:lpstr>NOTAS</vt:lpstr>
      <vt:lpstr>DEDUÇÕES</vt:lpstr>
      <vt:lpstr>RESUMO</vt:lpstr>
      <vt:lpstr>CHECKLIST</vt:lpstr>
      <vt:lpstr>AJUSTES</vt:lpstr>
      <vt:lpstr>LISTAS</vt:lpstr>
      <vt:lpstr>CALC</vt:lpstr>
      <vt:lpstr>c_prog</vt:lpstr>
      <vt:lpstr>lst_bancos</vt:lpstr>
      <vt:lpstr>lst_benef</vt:lpstr>
      <vt:lpstr>lst_categorias</vt:lpstr>
      <vt:lpstr>lst_simnao</vt:lpstr>
      <vt:lpstr>lst_status</vt:lpstr>
      <vt:lpstr>lst_tipofiscal</vt:lpstr>
      <vt:lpstr>lst_tiposded</vt:lpstr>
      <vt:lpstr>p_ano</vt:lpstr>
      <vt:lpstr>p_ded_dep</vt:lpstr>
      <vt:lpstr>p_lim_edu</vt:lpstr>
      <vt:lpstr>p_limite_bens</vt:lpstr>
      <vt:lpstr>p_limite_isento</vt:lpstr>
      <vt:lpstr>p_limite_trib</vt:lpstr>
      <vt:lpstr>p_pgbl_pct</vt:lpstr>
      <vt:lpstr>p_simpl_max</vt:lpstr>
      <vt:lpstr>p_simpl_pct</vt:lpstr>
      <vt:lpstr>r_exclusivo</vt:lpstr>
      <vt:lpstr>r_isento</vt:lpstr>
      <vt:lpstr>r_modelo</vt:lpstr>
      <vt:lpstr>r_obrigado</vt:lpstr>
      <vt:lpstr>r_trib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Valdir Barbosa</cp:lastModifiedBy>
  <dcterms:created xsi:type="dcterms:W3CDTF">2026-10-02T18:33:58Z</dcterms:created>
  <dcterms:modified xsi:type="dcterms:W3CDTF">2026-10-03T14:25:47Z</dcterms:modified>
</cp:coreProperties>
</file>